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TradeMap_Datos" sheetId="2" state="visible" r:id="rId4"/>
    <sheet name="Participacion" sheetId="3" state="visible" r:id="rId5"/>
    <sheet name="HHI_Oferta" sheetId="4" state="visible" r:id="rId6"/>
    <sheet name="Andinos" sheetId="5" state="visible" r:id="rId7"/>
    <sheet name="Cobertura" sheetId="6" state="visible" r:id="rId8"/>
    <sheet name="Conjunto_A" sheetId="7" state="visible" r:id="rId9"/>
    <sheet name="Conjunto_B" sheetId="8" state="visible" r:id="rId10"/>
    <sheet name="Conjunto_C" sheetId="9" state="visible" r:id="rId11"/>
    <sheet name="Posicion_Comercial" sheetId="10" state="visible" r:id="rId12"/>
    <sheet name="Concentracion" sheetId="11" state="visible" r:id="rId13"/>
    <sheet name="Ventaja_Comparativa" sheetId="12" state="visible" r:id="rId14"/>
    <sheet name="Matriz_Multicriterio" sheetId="13" state="visible" r:id="rId15"/>
    <sheet name="Supuestos" sheetId="14" state="visible" r:id="rId16"/>
    <sheet name="Diccionario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<sst xmlns="http://schemas.openxmlformats.org/spreadsheetml/2006/main" count="858" uniqueCount="685">
  <si>
    <t xml:space="preserve">ANEXO TECNICO DE DATOS - CURUBA (Passiflora mollissima Bailey)</t>
  </si>
  <si>
    <t xml:space="preserve">Universidad EAN | Inteligencia en Negocios Globales | Grupo 5, Equipo 6 | Acompana la Ficha Tecnica del Estudio</t>
  </si>
  <si>
    <t xml:space="preserve">Hoja</t>
  </si>
  <si>
    <t xml:space="preserve">Contenido</t>
  </si>
  <si>
    <t xml:space="preserve">Capa de datos</t>
  </si>
  <si>
    <t xml:space="preserve">Fuente</t>
  </si>
  <si>
    <t xml:space="preserve">TradeMap_Datos</t>
  </si>
  <si>
    <t xml:space="preserve">Exportaciones de la subpartida 081090 por economia, 2016-2025 (USD miles)</t>
  </si>
  <si>
    <t xml:space="preserve">Primaria</t>
  </si>
  <si>
    <t xml:space="preserve">Trade Map (ITC)</t>
  </si>
  <si>
    <t xml:space="preserve">Participacion</t>
  </si>
  <si>
    <t xml:space="preserve">Cuota de cada economia en las exportaciones mundiales, por ano</t>
  </si>
  <si>
    <t xml:space="preserve">Primaria - calculada</t>
  </si>
  <si>
    <t xml:space="preserve">Calculo sobre Trade Map</t>
  </si>
  <si>
    <t xml:space="preserve">HHI_Oferta</t>
  </si>
  <si>
    <t xml:space="preserve">Concentracion de la oferta mundial: HHI, escala 0-10.000 y numero equivalente</t>
  </si>
  <si>
    <t xml:space="preserve">Andinos</t>
  </si>
  <si>
    <t xml:space="preserve">Colombia frente a Ecuador y Peru: valor, cuota, razon y crecimiento</t>
  </si>
  <si>
    <t xml:space="preserve">Cobertura</t>
  </si>
  <si>
    <t xml:space="preserve">Economias que reportan cada ano y aptitud del ano para ranking</t>
  </si>
  <si>
    <t xml:space="preserve">Conjunto_A</t>
  </si>
  <si>
    <t xml:space="preserve">Comercio mundial de pasifloras por region, 2019-2024</t>
  </si>
  <si>
    <t xml:space="preserve">Estimacion del equipo</t>
  </si>
  <si>
    <t xml:space="preserve">Ficha tecnica, seccion 3.1</t>
  </si>
  <si>
    <t xml:space="preserve">Conjunto_B</t>
  </si>
  <si>
    <t xml:space="preserve">Variables macroeconomicas de Colombia, 2019-2024</t>
  </si>
  <si>
    <t xml:space="preserve">Conjunto_C</t>
  </si>
  <si>
    <t xml:space="preserve">Produccion de pasifloras y curuba, e imputacion del 3,8 %</t>
  </si>
  <si>
    <t xml:space="preserve">Posicion_Comercial</t>
  </si>
  <si>
    <t xml:space="preserve">IBCR, IAC y clasificacion de los seis mercados</t>
  </si>
  <si>
    <t xml:space="preserve">Ficha tecnica, seccion 3.2</t>
  </si>
  <si>
    <t xml:space="preserve">Concentracion</t>
  </si>
  <si>
    <t xml:space="preserve">HHI, Theil y Grubel-Lloyd: curuba frente a gulupa</t>
  </si>
  <si>
    <t xml:space="preserve">Ficha tecnica, seccion 3.3</t>
  </si>
  <si>
    <t xml:space="preserve">Ventaja_Comparativa</t>
  </si>
  <si>
    <t xml:space="preserve">Balassa, RSCA y Lafay</t>
  </si>
  <si>
    <t xml:space="preserve">Ficha tecnica, seccion 3.4</t>
  </si>
  <si>
    <t xml:space="preserve">Matriz_Multicriterio</t>
  </si>
  <si>
    <t xml:space="preserve">Priorizacion ponderada de los cinco destinos finalistas</t>
  </si>
  <si>
    <t xml:space="preserve">Ficha tecnica, seccion 3.5</t>
  </si>
  <si>
    <t xml:space="preserve">Supuestos</t>
  </si>
  <si>
    <t xml:space="preserve">Registro de supuestos declarados y su estado de verificacion</t>
  </si>
  <si>
    <t xml:space="preserve">Documentacion</t>
  </si>
  <si>
    <t xml:space="preserve">Elaboracion propia</t>
  </si>
  <si>
    <t xml:space="preserve">Diccionario</t>
  </si>
  <si>
    <t xml:space="preserve">Definicion, unidad y fuente de cada campo del anexo</t>
  </si>
  <si>
    <t xml:space="preserve">LEYENDA</t>
  </si>
  <si>
    <t xml:space="preserve">Celda con fondo gris claro = dato de entrada (proviene de la fuente o de la ficha tecnica).</t>
  </si>
  <si>
    <t xml:space="preserve">Celda sin fondo = valor calculado por formula; se recalcula solo al cambiar las entradas.</t>
  </si>
  <si>
    <t xml:space="preserve">Los valores monetarios estan en miles de dolares corrientes (USD miles), como los entrega Trade Map.</t>
  </si>
  <si>
    <t xml:space="preserve">Capa 'Primaria' = descarga oficial de Trade Map. Capa 'Estimacion del equipo' = cifras de la ficha tecnica construidas sobre el supuesto de imputacion del 3,8 % (ver hoja Supuestos).</t>
  </si>
  <si>
    <t xml:space="preserve">Exportaciones de la subpartida 081090 por economia</t>
  </si>
  <si>
    <t xml:space="preserve">Trade Map (ITC). Valores en USD miles. Fila 5 = agregado Mundo del archivo original; las economias empiezan en la fila 6.</t>
  </si>
  <si>
    <t xml:space="preserve">Codigo</t>
  </si>
  <si>
    <t xml:space="preserve">Economia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</si>
  <si>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</si>
  <si>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</si>
  <si>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</si>
  <si>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</si>
  <si>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</si>
  <si>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</si>
  <si>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</si>
  <si>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</si>
  <si>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</si>
  <si>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</si>
  <si>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000</t>
  </si>
  <si>
    <t xml:space="preserve">Mundo (agregado)</t>
  </si>
  <si>
    <t xml:space="preserve">764</t>
  </si>
  <si>
    <t xml:space="preserve">Tailandia</t>
  </si>
  <si>
    <t xml:space="preserve">528</t>
  </si>
  <si>
    <t xml:space="preserve">Países Bajos</t>
  </si>
  <si>
    <t xml:space="preserve">218</t>
  </si>
  <si>
    <t xml:space="preserve">Ecuador</t>
  </si>
  <si>
    <t xml:space="preserve">156</t>
  </si>
  <si>
    <t xml:space="preserve">China</t>
  </si>
  <si>
    <t xml:space="preserve">792</t>
  </si>
  <si>
    <t xml:space="preserve">Türkiye</t>
  </si>
  <si>
    <t xml:space="preserve">818</t>
  </si>
  <si>
    <t xml:space="preserve">Egipto</t>
  </si>
  <si>
    <t xml:space="preserve">724</t>
  </si>
  <si>
    <t xml:space="preserve">España</t>
  </si>
  <si>
    <t xml:space="preserve">604</t>
  </si>
  <si>
    <t xml:space="preserve">Perú</t>
  </si>
  <si>
    <t xml:space="preserve">699</t>
  </si>
  <si>
    <t xml:space="preserve">India</t>
  </si>
  <si>
    <t xml:space="preserve">170</t>
  </si>
  <si>
    <t xml:space="preserve">Colombia</t>
  </si>
  <si>
    <t xml:space="preserve">842</t>
  </si>
  <si>
    <t xml:space="preserve">Estados Unidos de América</t>
  </si>
  <si>
    <t xml:space="preserve">056</t>
  </si>
  <si>
    <t xml:space="preserve">Bélgica</t>
  </si>
  <si>
    <t xml:space="preserve">484</t>
  </si>
  <si>
    <t xml:space="preserve">México</t>
  </si>
  <si>
    <t xml:space="preserve">251</t>
  </si>
  <si>
    <t xml:space="preserve">Francia</t>
  </si>
  <si>
    <t xml:space="preserve">710</t>
  </si>
  <si>
    <t xml:space="preserve">Sudáfrica</t>
  </si>
  <si>
    <t xml:space="preserve">031</t>
  </si>
  <si>
    <t xml:space="preserve">Azerbaiyán</t>
  </si>
  <si>
    <t xml:space="preserve">040</t>
  </si>
  <si>
    <t xml:space="preserve">Austria</t>
  </si>
  <si>
    <t xml:space="preserve">116</t>
  </si>
  <si>
    <t xml:space="preserve">Camboya</t>
  </si>
  <si>
    <t xml:space="preserve">300</t>
  </si>
  <si>
    <t xml:space="preserve">Grecia</t>
  </si>
  <si>
    <t xml:space="preserve">276</t>
  </si>
  <si>
    <t xml:space="preserve">Alemania</t>
  </si>
  <si>
    <t xml:space="preserve">381</t>
  </si>
  <si>
    <t xml:space="preserve">Italia</t>
  </si>
  <si>
    <t xml:space="preserve">152</t>
  </si>
  <si>
    <t xml:space="preserve">Chile</t>
  </si>
  <si>
    <t xml:space="preserve">458</t>
  </si>
  <si>
    <t xml:space="preserve">Malasia</t>
  </si>
  <si>
    <t xml:space="preserve">344</t>
  </si>
  <si>
    <t xml:space="preserve">Hong Kong, China</t>
  </si>
  <si>
    <t xml:space="preserve">144</t>
  </si>
  <si>
    <t xml:space="preserve">Sri Lanka</t>
  </si>
  <si>
    <t xml:space="preserve">360</t>
  </si>
  <si>
    <t xml:space="preserve">Indonesia</t>
  </si>
  <si>
    <t xml:space="preserve">320</t>
  </si>
  <si>
    <t xml:space="preserve">Guatemala</t>
  </si>
  <si>
    <t xml:space="preserve">620</t>
  </si>
  <si>
    <t xml:space="preserve">Portugal</t>
  </si>
  <si>
    <t xml:space="preserve">490</t>
  </si>
  <si>
    <t xml:space="preserve">Taipei Chino</t>
  </si>
  <si>
    <t xml:space="preserve">100</t>
  </si>
  <si>
    <t xml:space="preserve">Bulgaria</t>
  </si>
  <si>
    <t xml:space="preserve">682</t>
  </si>
  <si>
    <t xml:space="preserve">Arabia Saudita</t>
  </si>
  <si>
    <t xml:space="preserve">348</t>
  </si>
  <si>
    <t xml:space="preserve">Hungría</t>
  </si>
  <si>
    <t xml:space="preserve">076</t>
  </si>
  <si>
    <t xml:space="preserve">Brasil</t>
  </si>
  <si>
    <t xml:space="preserve">504</t>
  </si>
  <si>
    <t xml:space="preserve">Marruecos</t>
  </si>
  <si>
    <t xml:space="preserve">036</t>
  </si>
  <si>
    <t xml:space="preserve">Australia</t>
  </si>
  <si>
    <t xml:space="preserve">554</t>
  </si>
  <si>
    <t xml:space="preserve">Nueva Zelandia</t>
  </si>
  <si>
    <t xml:space="preserve">480</t>
  </si>
  <si>
    <t xml:space="preserve">Mauricio</t>
  </si>
  <si>
    <t xml:space="preserve">826</t>
  </si>
  <si>
    <t xml:space="preserve">Reino Unido</t>
  </si>
  <si>
    <t xml:space="preserve">450</t>
  </si>
  <si>
    <t xml:space="preserve">Madagascar</t>
  </si>
  <si>
    <t xml:space="preserve">214</t>
  </si>
  <si>
    <t xml:space="preserve">República Dominicana</t>
  </si>
  <si>
    <t xml:space="preserve">268</t>
  </si>
  <si>
    <t xml:space="preserve">Georgia</t>
  </si>
  <si>
    <t xml:space="preserve">404</t>
  </si>
  <si>
    <t xml:space="preserve">Kenya</t>
  </si>
  <si>
    <t xml:space="preserve">203</t>
  </si>
  <si>
    <t xml:space="preserve">República Checa</t>
  </si>
  <si>
    <t xml:space="preserve">586</t>
  </si>
  <si>
    <t xml:space="preserve">Pakistán</t>
  </si>
  <si>
    <t xml:space="preserve">428</t>
  </si>
  <si>
    <t xml:space="preserve">Letonia</t>
  </si>
  <si>
    <t xml:space="preserve">702</t>
  </si>
  <si>
    <t xml:space="preserve">Singapur</t>
  </si>
  <si>
    <t xml:space="preserve">616</t>
  </si>
  <si>
    <t xml:space="preserve">Polonia</t>
  </si>
  <si>
    <t xml:space="preserve">508</t>
  </si>
  <si>
    <t xml:space="preserve">Mozambique</t>
  </si>
  <si>
    <t xml:space="preserve">512</t>
  </si>
  <si>
    <t xml:space="preserve">Omán</t>
  </si>
  <si>
    <t xml:space="preserve">558</t>
  </si>
  <si>
    <t xml:space="preserve">Nicaragua</t>
  </si>
  <si>
    <t xml:space="preserve">191</t>
  </si>
  <si>
    <t xml:space="preserve">Croacia</t>
  </si>
  <si>
    <t xml:space="preserve">800</t>
  </si>
  <si>
    <t xml:space="preserve">Uganda</t>
  </si>
  <si>
    <t xml:space="preserve">440</t>
  </si>
  <si>
    <t xml:space="preserve">Lituania</t>
  </si>
  <si>
    <t xml:space="preserve">246</t>
  </si>
  <si>
    <t xml:space="preserve">Finlandia</t>
  </si>
  <si>
    <t xml:space="preserve">894</t>
  </si>
  <si>
    <t xml:space="preserve">Zambia</t>
  </si>
  <si>
    <t xml:space="preserve">388</t>
  </si>
  <si>
    <t xml:space="preserve">Jamaica</t>
  </si>
  <si>
    <t xml:space="preserve">686</t>
  </si>
  <si>
    <t xml:space="preserve">Senegal</t>
  </si>
  <si>
    <t xml:space="preserve">372</t>
  </si>
  <si>
    <t xml:space="preserve">Irlanda</t>
  </si>
  <si>
    <t xml:space="preserve">591</t>
  </si>
  <si>
    <t xml:space="preserve">Panamá</t>
  </si>
  <si>
    <t xml:space="preserve">024</t>
  </si>
  <si>
    <t xml:space="preserve">Angola</t>
  </si>
  <si>
    <t xml:space="preserve">208</t>
  </si>
  <si>
    <t xml:space="preserve">Dinamarca</t>
  </si>
  <si>
    <t xml:space="preserve">780</t>
  </si>
  <si>
    <t xml:space="preserve">Trinidad y Tobago</t>
  </si>
  <si>
    <t xml:space="preserve">398</t>
  </si>
  <si>
    <t xml:space="preserve">Kazajstán</t>
  </si>
  <si>
    <t xml:space="preserve">716</t>
  </si>
  <si>
    <t xml:space="preserve">Zimbabwe</t>
  </si>
  <si>
    <t xml:space="preserve">642</t>
  </si>
  <si>
    <t xml:space="preserve">Rumania</t>
  </si>
  <si>
    <t xml:space="preserve">392</t>
  </si>
  <si>
    <t xml:space="preserve">Japón</t>
  </si>
  <si>
    <t xml:space="preserve">124</t>
  </si>
  <si>
    <t xml:space="preserve">Canadá</t>
  </si>
  <si>
    <t xml:space="preserve">752</t>
  </si>
  <si>
    <t xml:space="preserve">Suecia</t>
  </si>
  <si>
    <t xml:space="preserve">384</t>
  </si>
  <si>
    <t xml:space="preserve">Côte d'Ivoire</t>
  </si>
  <si>
    <t xml:space="preserve">188</t>
  </si>
  <si>
    <t xml:space="preserve">Costa Rica</t>
  </si>
  <si>
    <t xml:space="preserve">442</t>
  </si>
  <si>
    <t xml:space="preserve">Luxemburgo</t>
  </si>
  <si>
    <t xml:space="preserve">328</t>
  </si>
  <si>
    <t xml:space="preserve">Guyana</t>
  </si>
  <si>
    <t xml:space="preserve">410</t>
  </si>
  <si>
    <t xml:space="preserve">Corea, República de</t>
  </si>
  <si>
    <t xml:space="preserve">703</t>
  </si>
  <si>
    <t xml:space="preserve">Eslovaquia</t>
  </si>
  <si>
    <t xml:space="preserve">705</t>
  </si>
  <si>
    <t xml:space="preserve">Eslovenia</t>
  </si>
  <si>
    <t xml:space="preserve">242</t>
  </si>
  <si>
    <t xml:space="preserve">Fiji</t>
  </si>
  <si>
    <t xml:space="preserve">646</t>
  </si>
  <si>
    <t xml:space="preserve">Ruanda</t>
  </si>
  <si>
    <t xml:space="preserve">757</t>
  </si>
  <si>
    <t xml:space="preserve">Suiza</t>
  </si>
  <si>
    <t xml:space="preserve">834</t>
  </si>
  <si>
    <t xml:space="preserve">Tanzanía, República Unida de</t>
  </si>
  <si>
    <t xml:space="preserve">608</t>
  </si>
  <si>
    <t xml:space="preserve">Filipinas</t>
  </si>
  <si>
    <t xml:space="preserve">688</t>
  </si>
  <si>
    <t xml:space="preserve">Serbia</t>
  </si>
  <si>
    <t xml:space="preserve">052</t>
  </si>
  <si>
    <t xml:space="preserve">Barbados</t>
  </si>
  <si>
    <t xml:space="preserve">233</t>
  </si>
  <si>
    <t xml:space="preserve">Estonia</t>
  </si>
  <si>
    <t xml:space="preserve">051</t>
  </si>
  <si>
    <t xml:space="preserve">Armenia</t>
  </si>
  <si>
    <t xml:space="preserve">498</t>
  </si>
  <si>
    <t xml:space="preserve">Moldova, República de</t>
  </si>
  <si>
    <t xml:space="preserve">740</t>
  </si>
  <si>
    <t xml:space="preserve">Suriname</t>
  </si>
  <si>
    <t xml:space="preserve">516</t>
  </si>
  <si>
    <t xml:space="preserve">Namibia</t>
  </si>
  <si>
    <t xml:space="preserve">070</t>
  </si>
  <si>
    <t xml:space="preserve">Bosnia y Herzegovina</t>
  </si>
  <si>
    <t xml:space="preserve">108</t>
  </si>
  <si>
    <t xml:space="preserve">Burundi</t>
  </si>
  <si>
    <t xml:space="preserve">417</t>
  </si>
  <si>
    <t xml:space="preserve">Kirguistán</t>
  </si>
  <si>
    <t xml:space="preserve">196</t>
  </si>
  <si>
    <t xml:space="preserve">Chipre</t>
  </si>
  <si>
    <t xml:space="preserve">352</t>
  </si>
  <si>
    <t xml:space="preserve">Islandia</t>
  </si>
  <si>
    <t xml:space="preserve">768</t>
  </si>
  <si>
    <t xml:space="preserve">Togo</t>
  </si>
  <si>
    <t xml:space="preserve">222</t>
  </si>
  <si>
    <t xml:space="preserve">El Salvador</t>
  </si>
  <si>
    <t xml:space="preserve">562</t>
  </si>
  <si>
    <t xml:space="preserve">Níger</t>
  </si>
  <si>
    <t xml:space="preserve">882</t>
  </si>
  <si>
    <t xml:space="preserve">Samoa</t>
  </si>
  <si>
    <t xml:space="preserve">858</t>
  </si>
  <si>
    <t xml:space="preserve">Uruguay</t>
  </si>
  <si>
    <t xml:space="preserve">854</t>
  </si>
  <si>
    <t xml:space="preserve">Burkina Faso</t>
  </si>
  <si>
    <t xml:space="preserve">579</t>
  </si>
  <si>
    <t xml:space="preserve">Noruega</t>
  </si>
  <si>
    <t xml:space="preserve">496</t>
  </si>
  <si>
    <t xml:space="preserve">Mongolia</t>
  </si>
  <si>
    <t xml:space="preserve">470</t>
  </si>
  <si>
    <t xml:space="preserve">Malta</t>
  </si>
  <si>
    <t xml:space="preserve">376</t>
  </si>
  <si>
    <t xml:space="preserve">Israel</t>
  </si>
  <si>
    <t xml:space="preserve">678</t>
  </si>
  <si>
    <t xml:space="preserve">Sao Tomé y Príncipe</t>
  </si>
  <si>
    <t xml:space="preserve">204</t>
  </si>
  <si>
    <t xml:space="preserve">Benin</t>
  </si>
  <si>
    <t xml:space="preserve">084</t>
  </si>
  <si>
    <t xml:space="preserve">Belice</t>
  </si>
  <si>
    <t xml:space="preserve">096</t>
  </si>
  <si>
    <t xml:space="preserve">Brunei Darussalam</t>
  </si>
  <si>
    <t xml:space="preserve">180</t>
  </si>
  <si>
    <t xml:space="preserve">Congo, República Democrática del</t>
  </si>
  <si>
    <t xml:space="preserve">064</t>
  </si>
  <si>
    <t xml:space="preserve">Bhután</t>
  </si>
  <si>
    <t xml:space="preserve">032</t>
  </si>
  <si>
    <t xml:space="preserve">Argentina</t>
  </si>
  <si>
    <t xml:space="preserve">860</t>
  </si>
  <si>
    <t xml:space="preserve">Uzbekistán</t>
  </si>
  <si>
    <t xml:space="preserve">887</t>
  </si>
  <si>
    <t xml:space="preserve">Yemen</t>
  </si>
  <si>
    <t xml:space="preserve">776</t>
  </si>
  <si>
    <t xml:space="preserve">Tonga</t>
  </si>
  <si>
    <t xml:space="preserve">784</t>
  </si>
  <si>
    <t xml:space="preserve">Emiratos Árabes Unidos</t>
  </si>
  <si>
    <t xml:space="preserve">788</t>
  </si>
  <si>
    <t xml:space="preserve">Túnez</t>
  </si>
  <si>
    <t xml:space="preserve">804</t>
  </si>
  <si>
    <t xml:space="preserve">Ucrania</t>
  </si>
  <si>
    <t xml:space="preserve">807</t>
  </si>
  <si>
    <t xml:space="preserve">Macedonia del Norte</t>
  </si>
  <si>
    <t xml:space="preserve">566</t>
  </si>
  <si>
    <t xml:space="preserve">Nigeria</t>
  </si>
  <si>
    <t xml:space="preserve">524</t>
  </si>
  <si>
    <t xml:space="preserve">Nepal</t>
  </si>
  <si>
    <t xml:space="preserve">499</t>
  </si>
  <si>
    <t xml:space="preserve">Montenegro</t>
  </si>
  <si>
    <t xml:space="preserve">466</t>
  </si>
  <si>
    <t xml:space="preserve">Malí</t>
  </si>
  <si>
    <t xml:space="preserve">418</t>
  </si>
  <si>
    <t xml:space="preserve">Lao, República Democrática Popular</t>
  </si>
  <si>
    <t xml:space="preserve">422</t>
  </si>
  <si>
    <t xml:space="preserve">Líbano</t>
  </si>
  <si>
    <t xml:space="preserve">426</t>
  </si>
  <si>
    <t xml:space="preserve">Lesoto</t>
  </si>
  <si>
    <t xml:space="preserve">414</t>
  </si>
  <si>
    <t xml:space="preserve">Kuwait</t>
  </si>
  <si>
    <t xml:space="preserve">400</t>
  </si>
  <si>
    <t xml:space="preserve">Jordania</t>
  </si>
  <si>
    <t xml:space="preserve">748</t>
  </si>
  <si>
    <t xml:space="preserve">Eswatini</t>
  </si>
  <si>
    <t xml:space="preserve">762</t>
  </si>
  <si>
    <t xml:space="preserve">Tayikistán</t>
  </si>
  <si>
    <t xml:space="preserve">729</t>
  </si>
  <si>
    <t xml:space="preserve">Sudán</t>
  </si>
  <si>
    <t xml:space="preserve">643</t>
  </si>
  <si>
    <t xml:space="preserve">Rusia, Federación de</t>
  </si>
  <si>
    <t xml:space="preserve">704</t>
  </si>
  <si>
    <t xml:space="preserve">Viet Nam</t>
  </si>
  <si>
    <t xml:space="preserve">694</t>
  </si>
  <si>
    <t xml:space="preserve">Sierra Leona</t>
  </si>
  <si>
    <t xml:space="preserve">662</t>
  </si>
  <si>
    <t xml:space="preserve">Santa Lucía</t>
  </si>
  <si>
    <t xml:space="preserve">670</t>
  </si>
  <si>
    <t xml:space="preserve">San Vicente y las Granadinas</t>
  </si>
  <si>
    <t xml:space="preserve">626</t>
  </si>
  <si>
    <t xml:space="preserve">Timor-Leste</t>
  </si>
  <si>
    <t xml:space="preserve">531</t>
  </si>
  <si>
    <t xml:space="preserve">Curaçao</t>
  </si>
  <si>
    <t xml:space="preserve">533</t>
  </si>
  <si>
    <t xml:space="preserve">Aruba</t>
  </si>
  <si>
    <t xml:space="preserve">231</t>
  </si>
  <si>
    <t xml:space="preserve">Etiopía</t>
  </si>
  <si>
    <t xml:space="preserve">212</t>
  </si>
  <si>
    <t xml:space="preserve">Dominica</t>
  </si>
  <si>
    <t xml:space="preserve">192</t>
  </si>
  <si>
    <t xml:space="preserve">Cuba</t>
  </si>
  <si>
    <t xml:space="preserve">364</t>
  </si>
  <si>
    <t xml:space="preserve">Irán, República Islámica del</t>
  </si>
  <si>
    <t xml:space="preserve">332</t>
  </si>
  <si>
    <t xml:space="preserve">Haití</t>
  </si>
  <si>
    <t xml:space="preserve">340</t>
  </si>
  <si>
    <t xml:space="preserve">Honduras</t>
  </si>
  <si>
    <t xml:space="preserve">275</t>
  </si>
  <si>
    <t xml:space="preserve">Palestina, Estado de</t>
  </si>
  <si>
    <t xml:space="preserve">262</t>
  </si>
  <si>
    <t xml:space="preserve">Djibouti</t>
  </si>
  <si>
    <t xml:space="preserve">266</t>
  </si>
  <si>
    <t xml:space="preserve">Gabón</t>
  </si>
  <si>
    <t xml:space="preserve">288</t>
  </si>
  <si>
    <t xml:space="preserve">Ghana</t>
  </si>
  <si>
    <t xml:space="preserve">308</t>
  </si>
  <si>
    <t xml:space="preserve">Granada</t>
  </si>
  <si>
    <t xml:space="preserve">112</t>
  </si>
  <si>
    <t xml:space="preserve">Belarús</t>
  </si>
  <si>
    <t xml:space="preserve">104</t>
  </si>
  <si>
    <t xml:space="preserve">Myanmar</t>
  </si>
  <si>
    <t xml:space="preserve">090</t>
  </si>
  <si>
    <t xml:space="preserve">Islas Salomon</t>
  </si>
  <si>
    <t xml:space="preserve">120</t>
  </si>
  <si>
    <t xml:space="preserve">Camerún</t>
  </si>
  <si>
    <t xml:space="preserve">178</t>
  </si>
  <si>
    <t xml:space="preserve">Congo</t>
  </si>
  <si>
    <t xml:space="preserve">072</t>
  </si>
  <si>
    <t xml:space="preserve">Botsuana</t>
  </si>
  <si>
    <t xml:space="preserve">048</t>
  </si>
  <si>
    <t xml:space="preserve">Bahrein</t>
  </si>
  <si>
    <t xml:space="preserve">050</t>
  </si>
  <si>
    <t xml:space="preserve">Bangladesh</t>
  </si>
  <si>
    <t xml:space="preserve">028</t>
  </si>
  <si>
    <t xml:space="preserve">Antigua y Barbuda</t>
  </si>
  <si>
    <t xml:space="preserve">004</t>
  </si>
  <si>
    <t xml:space="preserve">Afganistán</t>
  </si>
  <si>
    <t xml:space="preserve">008</t>
  </si>
  <si>
    <t xml:space="preserve">Albania</t>
  </si>
  <si>
    <t xml:space="preserve">012</t>
  </si>
  <si>
    <t xml:space="preserve">Argelia</t>
  </si>
  <si>
    <t xml:space="preserve">020</t>
  </si>
  <si>
    <t xml:space="preserve">Andorra</t>
  </si>
  <si>
    <t xml:space="preserve">Fuente: Trade Map (ITC), consulta de economias exportadoras de la subpartida 081090, https://www.trademap.org. Descarga original en 02_datos_crudos/.</t>
  </si>
  <si>
    <t xml:space="preserve">Una celda vacia significa que la economia no reporto ese ano; no equivale a exportacion cero.</t>
  </si>
  <si>
    <t xml:space="preserve">Participacion en las exportaciones mundiales de 081090</t>
  </si>
  <si>
    <t xml:space="preserve">Cuota = exportaciones de la economia / exportaciones mundiales del ano. Calculado por formula.</t>
  </si>
  <si>
    <t xml:space="preserve">Las celdas sin dato se fijan en 0 para que las sumas de la hoja HHI_Oferta no se interrumpan.</t>
  </si>
  <si>
    <t xml:space="preserve">Concentracion de la oferta mundial de 081090</t>
  </si>
  <si>
    <t xml:space="preserve">HHI = suma de los cuadrados de las cuotas de exportacion de las 160 economias. Umbrales: &gt;0,18 concentrado; 0,15-0,18 moderado; &lt;0,15 fragmentado.</t>
  </si>
  <si>
    <t xml:space="preserve">Ano</t>
  </si>
  <si>
    <t xml:space="preserve">Exportaciones mundiales (USD miles)</t>
  </si>
  <si>
    <t xml:space="preserve">Economias con dato</t>
  </si>
  <si>
    <t xml:space="preserve">HHI (0-1)</t>
  </si>
  <si>
    <t xml:space="preserve">HHI (escala 0-10.000)</t>
  </si>
  <si>
    <t xml:space="preserve">Numero equivalente de exportadores</t>
  </si>
  <si>
    <t xml:space="preserve">Lectura del umbral</t>
  </si>
  <si>
    <t xml:space="preserve">Numero equivalente = 1 / HHI: cuantos competidores del mismo tamano producirian esa misma concentracion.</t>
  </si>
  <si>
    <t xml:space="preserve">Colombia frente a sus competidores andinos en 081090</t>
  </si>
  <si>
    <t xml:space="preserve">Valores tomados de la hoja TradeMap_Datos mediante INDICE y COINCIDIR.</t>
  </si>
  <si>
    <t xml:space="preserve">Colombia (USD miles)</t>
  </si>
  <si>
    <t xml:space="preserve">Ecuador (USD miles)</t>
  </si>
  <si>
    <t xml:space="preserve">Peru (USD miles)</t>
  </si>
  <si>
    <t xml:space="preserve">Cuota Colombia</t>
  </si>
  <si>
    <t xml:space="preserve">Cuota Ecuador</t>
  </si>
  <si>
    <t xml:space="preserve">Cuota Peru</t>
  </si>
  <si>
    <t xml:space="preserve">Ecuador / Colombia (veces)</t>
  </si>
  <si>
    <t xml:space="preserve">CAGR</t>
  </si>
  <si>
    <t xml:space="preserve">CAGR = tasa de crecimiento anual compuesta entre el primero y el ultimo ano de la serie.</t>
  </si>
  <si>
    <t xml:space="preserve">El ultimo ano de la serie tiene cobertura parcial (ver hoja Cobertura); para comparaciones definitivas conviene usar el penultimo.</t>
  </si>
  <si>
    <t xml:space="preserve">Cobertura y calidad de la descarga de Trade Map</t>
  </si>
  <si>
    <t xml:space="preserve">Cuantas economias reportan cada ano. El ano en curso siempre llega incompleto.</t>
  </si>
  <si>
    <t xml:space="preserve">Economias que reportan</t>
  </si>
  <si>
    <t xml:space="preserve">Economias sin dato</t>
  </si>
  <si>
    <t xml:space="preserve">Apto para ranking</t>
  </si>
  <si>
    <t xml:space="preserve">Conjunto A - Comercio mundial de pasifloras por region (USD miles)</t>
  </si>
  <si>
    <t xml:space="preserve">Estimacion del equipo publicada en la ficha tecnica, seccion 3.1.</t>
  </si>
  <si>
    <t xml:space="preserve">Region</t>
  </si>
  <si>
    <t xml:space="preserve">America Latina</t>
  </si>
  <si>
    <t xml:space="preserve">Union Europea</t>
  </si>
  <si>
    <t xml:space="preserve">Resto del mundo</t>
  </si>
  <si>
    <t xml:space="preserve">Total</t>
  </si>
  <si>
    <t xml:space="preserve">Participacion America Latina</t>
  </si>
  <si>
    <t xml:space="preserve">CAGR del total</t>
  </si>
  <si>
    <t xml:space="preserve">Fuente: ficha tecnica del Equipo 6, seccion 3.1. Cifras estimadas por el equipo, no descargadas de una base oficial; ver hoja Supuestos.</t>
  </si>
  <si>
    <t xml:space="preserve">Conjunto B - Variables macroeconomicas de Colombia</t>
  </si>
  <si>
    <t xml:space="preserve">Estimacion del equipo publicada en la ficha tecnica, seccion 3.1. Fuente declarada: Banco Mundial (WDI).</t>
  </si>
  <si>
    <t xml:space="preserve">Variable</t>
  </si>
  <si>
    <t xml:space="preserve">PIB agricola (crecimiento %)</t>
  </si>
  <si>
    <t xml:space="preserve">Tasa de cambio (TRM promedio)</t>
  </si>
  <si>
    <t xml:space="preserve">Inflacion IPC (%)</t>
  </si>
  <si>
    <t xml:space="preserve">Conjunto C - Produccion de pasifloras y curuba, e imputacion comercial</t>
  </si>
  <si>
    <t xml:space="preserve">El valor imputado se calcula por formula sobre el factor declarado de la celda B6.</t>
  </si>
  <si>
    <t xml:space="preserve">Factor de imputacion declarado (supuesto S1)</t>
  </si>
  <si>
    <t xml:space="preserve">Se aplica sobre la fila America Latina del Conjunto A</t>
  </si>
  <si>
    <t xml:space="preserve">Produccion pasifloras (ton)</t>
  </si>
  <si>
    <t xml:space="preserve">Produccion curuba (ton)</t>
  </si>
  <si>
    <t xml:space="preserve">Participacion curuba en pasifloras</t>
  </si>
  <si>
    <t xml:space="preserve">Base comercial America Latina (USD miles)</t>
  </si>
  <si>
    <t xml:space="preserve">Valor imputado calculado (USD miles)</t>
  </si>
  <si>
    <t xml:space="preserve">Valor publicado en la ficha (USD miles)</t>
  </si>
  <si>
    <t xml:space="preserve">Diferencia maxima</t>
  </si>
  <si>
    <t xml:space="preserve">El supuesto S1 aplica un factor comercial del 3,8 %. La participacion productiva de la curuba en el total de pasifloras (columna D) ronda el 12,5 %: son magnitudes distintas y no intercambiables (ver hoja Supuestos).</t>
  </si>
  <si>
    <t xml:space="preserve">Posicion comercial de los seis mercados (subpartida 0810.90 agregada)</t>
  </si>
  <si>
    <t xml:space="preserve">IBCR e indice de Grubel-Lloyd calculados por formula a partir de X y M.</t>
  </si>
  <si>
    <t xml:space="preserve">Pais</t>
  </si>
  <si>
    <t xml:space="preserve">M (USD miles)</t>
  </si>
  <si>
    <t xml:space="preserve">X (USD miles)</t>
  </si>
  <si>
    <t xml:space="preserve">IBCR calculado</t>
  </si>
  <si>
    <t xml:space="preserve">GL = 1-|IBCR|</t>
  </si>
  <si>
    <t xml:space="preserve">IAC (%)</t>
  </si>
  <si>
    <t xml:space="preserve">IBCR publicado en la ficha</t>
  </si>
  <si>
    <t xml:space="preserve">Clasificacion comercial</t>
  </si>
  <si>
    <t xml:space="preserve">Pais origen / exportador neto</t>
  </si>
  <si>
    <t xml:space="preserve">Paises Bajos</t>
  </si>
  <si>
    <t xml:space="preserve">Hub de reexportacion / distribuidor UE</t>
  </si>
  <si>
    <t xml:space="preserve">Espana</t>
  </si>
  <si>
    <t xml:space="preserve">Mercado mixto (consumo / reexportacion regional)</t>
  </si>
  <si>
    <t xml:space="preserve">Mercado de consumo final masivo</t>
  </si>
  <si>
    <t xml:space="preserve">Canada</t>
  </si>
  <si>
    <t xml:space="preserve">Mercado de consumo final puro</t>
  </si>
  <si>
    <t xml:space="preserve">Emiratos Arabes Unidos</t>
  </si>
  <si>
    <t xml:space="preserve">Hub logistico / reexportacion Medio Oriente</t>
  </si>
  <si>
    <t xml:space="preserve">Base alternativa declarada: curuba especifica (Colombia)</t>
  </si>
  <si>
    <t xml:space="preserve">Colombia (curuba)</t>
  </si>
  <si>
    <t xml:space="preserve">M derivada del GL publicado (0,021); ver supuesto S4</t>
  </si>
  <si>
    <t xml:space="preserve">Las dos bases no son comparables entre si: la primera agrupa toda la subpartida 0810.90 y la segunda aisla la curuba. Ambas sostienen la misma lectura: Colombia es exportador neto y su comercio de este producto es de una sola via.</t>
  </si>
  <si>
    <t xml:space="preserve">Concentracion y estructura del comercio: curuba frente a gulupa</t>
  </si>
  <si>
    <t xml:space="preserve">HHI de destinos, indice de Theil e indice de Grubel-Lloyd. Ficha tecnica, seccion 3.3.</t>
  </si>
  <si>
    <t xml:space="preserve">Producto</t>
  </si>
  <si>
    <t xml:space="preserve">HHI de destinos</t>
  </si>
  <si>
    <t xml:space="preserve">Escala 0-10.000</t>
  </si>
  <si>
    <t xml:space="preserve">Numero equivalente de destinos</t>
  </si>
  <si>
    <t xml:space="preserve">Indice de Theil</t>
  </si>
  <si>
    <t xml:space="preserve">Grubel-Lloyd</t>
  </si>
  <si>
    <t xml:space="preserve">Lectura frente al umbral de 0,18</t>
  </si>
  <si>
    <t xml:space="preserve">Curuba (Passiflora mollissima)</t>
  </si>
  <si>
    <t xml:space="preserve">Gulupa (Passiflora edulis f. flavicarpa)</t>
  </si>
  <si>
    <t xml:space="preserve">El HHI de destinos mide como se reparten las ventas entre paises compradores; no debe compararse con el HHI de la hoja HHI_Oferta, que mide la concentracion de la oferta mundial.</t>
  </si>
  <si>
    <t xml:space="preserve">Ventaja comparativa revelada: Balassa, RSCA y Lafay</t>
  </si>
  <si>
    <t xml:space="preserve">El RSCA se recalcula por formula desde el RCA para verificar la identidad (RCA-1)/(RCA+1).</t>
  </si>
  <si>
    <t xml:space="preserve">Producto / sector</t>
  </si>
  <si>
    <t xml:space="preserve">Balassa (RCA)</t>
  </si>
  <si>
    <t xml:space="preserve">RSCA recalculado</t>
  </si>
  <si>
    <t xml:space="preserve">RSCA publicado</t>
  </si>
  <si>
    <t xml:space="preserve">Lafay (LFI)</t>
  </si>
  <si>
    <t xml:space="preserve">Sector pasifloras Colombia (agregado)</t>
  </si>
  <si>
    <t xml:space="preserve">Competidores regionales (Ecuador/Peru, taxo)</t>
  </si>
  <si>
    <t xml:space="preserve">Contraste con datos primarios: en la subpartida 081090, Ecuador exporta cerca de tres veces lo de Colombia y Peru la supera ligeramente (ver hoja Andinos). Conviene revisar la lectura de 'baja escala exportadora' de los competidores regionales.</t>
  </si>
  <si>
    <t xml:space="preserve">Matriz multicriterio de priorizacion de mercados</t>
  </si>
  <si>
    <t xml:space="preserve">Puntajes de 1 a 5 por criterio. El total se calcula con SUMAPRODUCTO de puntajes por pesos.</t>
  </si>
  <si>
    <t xml:space="preserve">Criterio</t>
  </si>
  <si>
    <t xml:space="preserve">Peso</t>
  </si>
  <si>
    <t xml:space="preserve">E.A.U.</t>
  </si>
  <si>
    <t xml:space="preserve">1. Absorcion / volumen</t>
  </si>
  <si>
    <t xml:space="preserve">2. Logistica y cadena de frio</t>
  </si>
  <si>
    <t xml:space="preserve">3. Acceso fitosanitario</t>
  </si>
  <si>
    <t xml:space="preserve">4. Rol de hub</t>
  </si>
  <si>
    <t xml:space="preserve">5. Afinidad / precio</t>
  </si>
  <si>
    <t xml:space="preserve">Suma de pesos (control)</t>
  </si>
  <si>
    <t xml:space="preserve">Puntaje ponderado total</t>
  </si>
  <si>
    <t xml:space="preserve">Puntaje publicado en la ficha</t>
  </si>
  <si>
    <t xml:space="preserve">Ranking (sobre el recalculado)</t>
  </si>
  <si>
    <t xml:space="preserve">El recalculo mueve los puntajes hasta 0,10 puntos frente a los publicados, pero conserva intacto el orden de los cinco destinos: Paises Bajos, Alemania, Espana, E.A.U. y Canada.</t>
  </si>
  <si>
    <t xml:space="preserve">Registro de supuestos declarados</t>
  </si>
  <si>
    <t xml:space="preserve">Cada supuesto con su verificacion y su via de validacion.</t>
  </si>
  <si>
    <t xml:space="preserve">id</t>
  </si>
  <si>
    <t xml:space="preserve">supuesto</t>
  </si>
  <si>
    <t xml:space="preserve">valor</t>
  </si>
  <si>
    <t xml:space="preserve">justificacion_declarada</t>
  </si>
  <si>
    <t xml:space="preserve">verificacion_realizada</t>
  </si>
  <si>
    <t xml:space="preserve">estado</t>
  </si>
  <si>
    <t xml:space="preserve">como_validarlo</t>
  </si>
  <si>
    <t xml:space="preserve">S1</t>
  </si>
  <si>
    <t xml:space="preserve">La curuba se estima como una fraccion fija del agregado comercial de la subpartida</t>
  </si>
  <si>
    <t xml:space="preserve">3.8%</t>
  </si>
  <si>
    <t xml:space="preserve">La subpartida 0810.90 agrupa curuba con tamarindo, maracuya, litchi, pitahaya y otros frutos; no existe desagregacion oficial de curuba a seis digitos</t>
  </si>
  <si>
    <t xml:space="preserve">Verificado: el valor imputado del Conjunto C es exactamente 3.8% de la fila America Latina del Conjunto A en los seis anios (diferencia 0.0)</t>
  </si>
  <si>
    <t xml:space="preserve">Confirmado aritmeticamente</t>
  </si>
  <si>
    <t xml:space="preserve">Contrastar con el detalle transaccional de Legiscomex por partida y empresa exportadora</t>
  </si>
  <si>
    <t xml:space="preserve">S2</t>
  </si>
  <si>
    <t xml:space="preserve">La participacion de la curuba en la produccion nacional de pasifloras</t>
  </si>
  <si>
    <t xml:space="preserve">12.5% promedio</t>
  </si>
  <si>
    <t xml:space="preserve">Derivada de las series de produccion del Conjunto C (Agronet)</t>
  </si>
  <si>
    <t xml:space="preserve">Calculado: 12.55% (2019) a 12.47% (2024); no coincide con el factor comercial de 3.8%</t>
  </si>
  <si>
    <t xml:space="preserve">Magnitudes distintas documentadas</t>
  </si>
  <si>
    <t xml:space="preserve">Aclarar en el informe final que 3.8% es factor comercial y 12.5% es participacion productiva; no son intercambiables</t>
  </si>
  <si>
    <t xml:space="preserve">S3</t>
  </si>
  <si>
    <t xml:space="preserve">El IBCR de Colombia se calcula sobre la subpartida 0810.90 agregada</t>
  </si>
  <si>
    <t xml:space="preserve">M=450 y X=2091.3 USD miles</t>
  </si>
  <si>
    <t xml:space="preserve">Base declarada en el tablero de posicion comercial de la ficha</t>
  </si>
  <si>
    <t xml:space="preserve">Verificado: IBCR = +0.646 coincide con el publicado</t>
  </si>
  <si>
    <t xml:space="preserve">Confirmado</t>
  </si>
  <si>
    <t xml:space="preserve">Recalcular con los datos definitivos de Trade Map por pais</t>
  </si>
  <si>
    <t xml:space="preserve">S4</t>
  </si>
  <si>
    <t xml:space="preserve">El Grubel-Lloyd de la curuba se calcula sobre flujos especificos del producto</t>
  </si>
  <si>
    <t xml:space="preserve">GL=0.021</t>
  </si>
  <si>
    <t xml:space="preserve">La curuba es un flujo unidireccional: Colombia exporta y practicamente no importa</t>
  </si>
  <si>
    <t xml:space="preserve">Base distinta a S3; se deriva M=22.19 USD miles para que GL y el IBCR de esa base reconcilien</t>
  </si>
  <si>
    <t xml:space="preserve">Base declarada por separado</t>
  </si>
  <si>
    <t xml:space="preserve">Obtener importaciones colombianas de curuba desagregadas en Legiscomex</t>
  </si>
  <si>
    <t xml:space="preserve">S5</t>
  </si>
  <si>
    <t xml:space="preserve">Los pesos de la matriz multicriterio suman 100%</t>
  </si>
  <si>
    <t xml:space="preserve">30/25/20/15/10</t>
  </si>
  <si>
    <t xml:space="preserve">Ponderaciones asignadas por el equipo segun la logica IMSFEOG</t>
  </si>
  <si>
    <t xml:space="preserve">Verificado: suman exactamente 1.00</t>
  </si>
  <si>
    <t xml:space="preserve">Someter los pesos a analisis de sensibilidad (simulacion de +/- 15%)</t>
  </si>
  <si>
    <t xml:space="preserve">S6</t>
  </si>
  <si>
    <t xml:space="preserve">El anio 2025 de Trade Map es utilizable para ranking mundial</t>
  </si>
  <si>
    <t xml:space="preserve">No</t>
  </si>
  <si>
    <t xml:space="preserve">Descarga de Trade Map con cobertura parcial del anio en curso</t>
  </si>
  <si>
    <t xml:space="preserve">Verificado: solo 109 de 160 economias reportan 2025 (68.1% de cobertura)</t>
  </si>
  <si>
    <t xml:space="preserve">Rechazado para ranking definitivo</t>
  </si>
  <si>
    <t xml:space="preserve">Usar 2024 (139 economias,  86.9%) como anio de referencia completo</t>
  </si>
  <si>
    <t xml:space="preserve">S7</t>
  </si>
  <si>
    <t xml:space="preserve">El Coeficiente de Exportacion de la curuba</t>
  </si>
  <si>
    <t xml:space="preserve">4.2%</t>
  </si>
  <si>
    <t xml:space="preserve">Declarado en la ficha tecnica como promedio estimado</t>
  </si>
  <si>
    <t xml:space="preserve">No recalculable con los campos disponibles: requiere el valor de la produccion nacional en USD, no el tonelaje</t>
  </si>
  <si>
    <t xml:space="preserve">Pendiente</t>
  </si>
  <si>
    <t xml:space="preserve">Obtener valor de produccion en DANE / EMIS / Agronet para cerrar la formula X/Produccion</t>
  </si>
  <si>
    <t xml:space="preserve">Diccionario de datos</t>
  </si>
  <si>
    <t xml:space="preserve">Definicion, unidad, fuente y periodo de cada campo del anexo.</t>
  </si>
  <si>
    <t xml:space="preserve">archivo</t>
  </si>
  <si>
    <t xml:space="preserve">campo</t>
  </si>
  <si>
    <t xml:space="preserve">tipo</t>
  </si>
  <si>
    <t xml:space="preserve">unidad</t>
  </si>
  <si>
    <t xml:space="preserve">definicion</t>
  </si>
  <si>
    <t xml:space="preserve">fuente</t>
  </si>
  <si>
    <t xml:space="preserve">periodo</t>
  </si>
  <si>
    <t xml:space="preserve">03_datos_limpios/t1_exportadores_081090_ancho.csv</t>
  </si>
  <si>
    <t xml:space="preserve">codigo_tm</t>
  </si>
  <si>
    <t xml:space="preserve">texto</t>
  </si>
  <si>
    <t xml:space="preserve">-</t>
  </si>
  <si>
    <t xml:space="preserve">Codigo numerico de economia reportante (estilo UN Comtrade)</t>
  </si>
  <si>
    <t xml:space="preserve">2016-2025</t>
  </si>
  <si>
    <t xml:space="preserve">pais</t>
  </si>
  <si>
    <t xml:space="preserve">Nombre de la economia exportadora</t>
  </si>
  <si>
    <t xml:space="preserve">2016..2025</t>
  </si>
  <si>
    <t xml:space="preserve">numerico</t>
  </si>
  <si>
    <t xml:space="preserve">USD miles</t>
  </si>
  <si>
    <t xml:space="preserve">Valor exportado de la subpartida 081090 al mundo</t>
  </si>
  <si>
    <t xml:space="preserve">03_datos_limpios/t2_exportadores_081090_largo.csv</t>
  </si>
  <si>
    <t xml:space="preserve">anio</t>
  </si>
  <si>
    <t xml:space="preserve">entero</t>
  </si>
  <si>
    <t xml:space="preserve">Anio de referencia del flujo</t>
  </si>
  <si>
    <t xml:space="preserve">exportaciones_usd_miles</t>
  </si>
  <si>
    <t xml:space="preserve">Valor exportado (formato largo/tidy)</t>
  </si>
  <si>
    <t xml:space="preserve">03_datos_limpios/t3_mundo_081090.csv</t>
  </si>
  <si>
    <t xml:space="preserve">exportaciones_mundiales_usd_miles</t>
  </si>
  <si>
    <t xml:space="preserve">Fila Mundo del archivo crudo: total mundial exportado</t>
  </si>
  <si>
    <t xml:space="preserve">03_datos_limpios/a1_comercio_mundial_equipo.csv</t>
  </si>
  <si>
    <t xml:space="preserve">region</t>
  </si>
  <si>
    <t xml:space="preserve">Agrupacion regional usada por el equipo en el Conjunto A</t>
  </si>
  <si>
    <t xml:space="preserve">Elaboracion del equipo</t>
  </si>
  <si>
    <t xml:space="preserve">2019-2024</t>
  </si>
  <si>
    <t xml:space="preserve">2019..2024</t>
  </si>
  <si>
    <t xml:space="preserve">Comercio mundial de pasifloras/frutas estimado por region</t>
  </si>
  <si>
    <t xml:space="preserve">03_datos_limpios/a2_comercio_mundial_derivados.csv</t>
  </si>
  <si>
    <t xml:space="preserve">participacion_*_pct</t>
  </si>
  <si>
    <t xml:space="preserve">%</t>
  </si>
  <si>
    <t xml:space="preserve">Participacion de cada region en el total del Conjunto A</t>
  </si>
  <si>
    <t xml:space="preserve">Calculado</t>
  </si>
  <si>
    <t xml:space="preserve">cagr_2019_2024_pct</t>
  </si>
  <si>
    <t xml:space="preserve">Tasa de crecimiento anual compuesta del total</t>
  </si>
  <si>
    <t xml:space="preserve">03_datos_limpios/b1_macro_colombia.csv</t>
  </si>
  <si>
    <t xml:space="preserve">variable</t>
  </si>
  <si>
    <t xml:space="preserve">Variable macroeconomica de Colombia (PIB agricola / TRM / IPC)</t>
  </si>
  <si>
    <t xml:space="preserve">Banco Mundial WDI (declarado por el equipo)</t>
  </si>
  <si>
    <t xml:space="preserve">03_datos_limpios/c1_produccion_curuba.csv</t>
  </si>
  <si>
    <t xml:space="preserve">metrica</t>
  </si>
  <si>
    <t xml:space="preserve">ton / USD miles</t>
  </si>
  <si>
    <t xml:space="preserve">Produccion de pasifloras y curuba y valor exportado imputado</t>
  </si>
  <si>
    <t xml:space="preserve">Agronet (declarado por el equipo)</t>
  </si>
  <si>
    <t xml:space="preserve">03_datos_limpios/c2_produccion_derivados.csv</t>
  </si>
  <si>
    <t xml:space="preserve">participacion_curuba_en_pasifloras_pct</t>
  </si>
  <si>
    <t xml:space="preserve">Produccion de curuba sobre produccion total de pasifloras</t>
  </si>
  <si>
    <t xml:space="preserve">factor_imputacion_aplicado</t>
  </si>
  <si>
    <t xml:space="preserve">proporcion</t>
  </si>
  <si>
    <t xml:space="preserve">Factor de 0.038 aplicado sobre la base de comercio de America Latina</t>
  </si>
  <si>
    <t xml:space="preserve">Supuesto declarado del equipo</t>
  </si>
  <si>
    <t xml:space="preserve">diferencia</t>
  </si>
  <si>
    <t xml:space="preserve">Diferencia entre el valor imputado recalculado y el publicado en la ficha</t>
  </si>
  <si>
    <t xml:space="preserve">03_datos_limpios/d1_flujos_pais_081090.csv</t>
  </si>
  <si>
    <t xml:space="preserve">base</t>
  </si>
  <si>
    <t xml:space="preserve">Base de calculo declarada: subpartida 0810.90 agregada</t>
  </si>
  <si>
    <t xml:space="preserve">IBCR_calculado</t>
  </si>
  <si>
    <t xml:space="preserve">indice [-1 a 1]</t>
  </si>
  <si>
    <t xml:space="preserve">(X-M)/(X+M) recalculado desde X y M de la misma fila</t>
  </si>
  <si>
    <t xml:space="preserve">GL_calculado</t>
  </si>
  <si>
    <t xml:space="preserve">indice [0 a 1]</t>
  </si>
  <si>
    <t xml:space="preserve">1-|IBCR| sobre la misma base</t>
  </si>
  <si>
    <t xml:space="preserve">03_datos_limpios/d2_flujos_curuba_colombia.csv</t>
  </si>
  <si>
    <t xml:space="preserve">importaciones_M_usd_miles</t>
  </si>
  <si>
    <t xml:space="preserve">Importaciones de curuba derivadas del GL publicado (0.021)</t>
  </si>
  <si>
    <t xml:space="preserve">Derivado</t>
  </si>
  <si>
    <t xml:space="preserve">04_indicadores_reales/r1_participacion_mercado_top25_pct.csv</t>
  </si>
  <si>
    <t xml:space="preserve">Cuota de cada economia en las exportaciones mundiales de 081090</t>
  </si>
  <si>
    <t xml:space="preserve">Calculado sobre Trade Map</t>
  </si>
  <si>
    <t xml:space="preserve">04_indicadores_reales/r2_ranking_exportadores.csv</t>
  </si>
  <si>
    <t xml:space="preserve">puesto_*</t>
  </si>
  <si>
    <t xml:space="preserve">puesto</t>
  </si>
  <si>
    <t xml:space="preserve">Posicion mundial de la economia entre exportadores de 081090</t>
  </si>
  <si>
    <t xml:space="preserve">04_indicadores_reales/r3_hhi_oferta_mundial.csv</t>
  </si>
  <si>
    <t xml:space="preserve">HHI_oferta_mundial</t>
  </si>
  <si>
    <t xml:space="preserve">Suma de cuadrados de las cuotas de exportacion de todas las economias</t>
  </si>
  <si>
    <t xml:space="preserve">numero_equivalente_exportadores</t>
  </si>
  <si>
    <t xml:space="preserve">numero</t>
  </si>
  <si>
    <t xml:space="preserve">1/HHI: numero de competidores de tamano equivalente</t>
  </si>
  <si>
    <t xml:space="preserve">04_indicadores_reales/r4_crecimiento_y_cuota.csv</t>
  </si>
  <si>
    <t xml:space="preserve">cagr_2016_2025_pct</t>
  </si>
  <si>
    <t xml:space="preserve">Tasa de crecimiento anual compuesta de las exportaciones</t>
  </si>
  <si>
    <t xml:space="preserve">04_indicadores_reales/r5_colombia_vs_competidores_andinos.csv</t>
  </si>
  <si>
    <t xml:space="preserve">razon_ecuador_colombia</t>
  </si>
  <si>
    <t xml:space="preserve">veces</t>
  </si>
  <si>
    <t xml:space="preserve">Exportaciones de Ecuador divididas entre las de Colombia</t>
  </si>
  <si>
    <t xml:space="preserve">04_indicadores_reales/r6_cobertura_y_calidad.csv</t>
  </si>
  <si>
    <t xml:space="preserve">cobertura_pct</t>
  </si>
  <si>
    <t xml:space="preserve">Porcentaje de economias con dato reportado en el anio</t>
  </si>
  <si>
    <t xml:space="preserve">05_indicadores_equipo/i1_posicion_comercial.csv</t>
  </si>
  <si>
    <t xml:space="preserve">IBCR_publicado_ficha</t>
  </si>
  <si>
    <t xml:space="preserve">Valor de IBCR tal como aparece en la ficha tecnica entregada</t>
  </si>
  <si>
    <t xml:space="preserve">Ficha tecnica Equipo 6</t>
  </si>
  <si>
    <t xml:space="preserve">05_indicadores_equipo/i2_concentracion_estructura.csv</t>
  </si>
  <si>
    <t xml:space="preserve">HHI_destinos</t>
  </si>
  <si>
    <t xml:space="preserve">Concentracion de destinos de exportacion del producto</t>
  </si>
  <si>
    <t xml:space="preserve">numero_equivalente_destinos</t>
  </si>
  <si>
    <t xml:space="preserve">1/HHI: destinos de tamano equivalente</t>
  </si>
  <si>
    <t xml:space="preserve">05_indicadores_equipo/i3_ventaja_comparativa.csv</t>
  </si>
  <si>
    <t xml:space="preserve">balassa_rca</t>
  </si>
  <si>
    <t xml:space="preserve">indice</t>
  </si>
  <si>
    <t xml:space="preserve">Indice de Ventaja Comparativa Revelada de Balassa (umbral 1)</t>
  </si>
  <si>
    <t xml:space="preserve">rsca_recalculado</t>
  </si>
  <si>
    <t xml:space="preserve">(RCA-1)/(RCA+1) recalculado</t>
  </si>
  <si>
    <t xml:space="preserve">05_indicadores_equipo/i4_matriz_multicriterio.csv</t>
  </si>
  <si>
    <t xml:space="preserve">peso</t>
  </si>
  <si>
    <t xml:space="preserve">Ponderacion del criterio en la matriz multicriterio</t>
  </si>
  <si>
    <t xml:space="preserve">2026</t>
  </si>
  <si>
    <t xml:space="preserve">Puntaje ponderado total (recalculado)</t>
  </si>
  <si>
    <t xml:space="preserve">puntaje 0-5</t>
  </si>
  <si>
    <t xml:space="preserve">Suma producto de puntajes por pesos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</si>
</sst>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00"/>
    <numFmt numFmtId="168" formatCode="#,##0.0"/>
    <numFmt numFmtId="169" formatCode="0.00"/>
    <numFmt numFmtId="170" formatCode="#,##0.00"/>
    <numFmt numFmtId="171" formatCode="0.0"/>
    <numFmt numFmtId="172" formatCode="0.0000"/>
    <numFmt numFmtId="173" formatCode="0%"/>
    <numFmt numFmtId="174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4" t="s">
        <v>12</v>
      </c>
      <c r="D7" s="4" t="s">
        <v>13</v>
      </c>
    </row>
    <row r="8" customFormat="false" ht="15" hidden="false" customHeight="false" outlineLevel="0" collapsed="false">
      <c r="A8" s="4" t="s">
        <v>16</v>
      </c>
      <c r="B8" s="5" t="s">
        <v>17</v>
      </c>
      <c r="C8" s="4" t="s">
        <v>12</v>
      </c>
      <c r="D8" s="4" t="s">
        <v>13</v>
      </c>
    </row>
    <row r="9" customFormat="false" ht="15" hidden="false" customHeight="false" outlineLevel="0" collapsed="false">
      <c r="A9" s="4" t="s">
        <v>18</v>
      </c>
      <c r="B9" s="5" t="s">
        <v>19</v>
      </c>
      <c r="C9" s="4" t="s">
        <v>12</v>
      </c>
      <c r="D9" s="4" t="s">
        <v>13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4" t="s">
        <v>22</v>
      </c>
      <c r="D10" s="4" t="s">
        <v>23</v>
      </c>
    </row>
    <row r="11" customFormat="false" ht="15" hidden="false" customHeight="false" outlineLevel="0" collapsed="false">
      <c r="A11" s="4" t="s">
        <v>24</v>
      </c>
      <c r="B11" s="5" t="s">
        <v>25</v>
      </c>
      <c r="C11" s="4" t="s">
        <v>22</v>
      </c>
      <c r="D11" s="4" t="s">
        <v>23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4" t="s">
        <v>22</v>
      </c>
      <c r="D12" s="4" t="s">
        <v>23</v>
      </c>
    </row>
    <row r="13" customFormat="false" ht="15" hidden="false" customHeight="false" outlineLevel="0" collapsed="false">
      <c r="A13" s="4" t="s">
        <v>28</v>
      </c>
      <c r="B13" s="5" t="s">
        <v>29</v>
      </c>
      <c r="C13" s="4" t="s">
        <v>22</v>
      </c>
      <c r="D13" s="4" t="s">
        <v>30</v>
      </c>
    </row>
    <row r="14" customFormat="false" ht="15" hidden="false" customHeight="false" outlineLevel="0" collapsed="false">
      <c r="A14" s="4" t="s">
        <v>31</v>
      </c>
      <c r="B14" s="5" t="s">
        <v>32</v>
      </c>
      <c r="C14" s="4" t="s">
        <v>22</v>
      </c>
      <c r="D14" s="4" t="s">
        <v>33</v>
      </c>
    </row>
    <row r="15" customFormat="false" ht="15" hidden="false" customHeight="false" outlineLevel="0" collapsed="false">
      <c r="A15" s="4" t="s">
        <v>34</v>
      </c>
      <c r="B15" s="5" t="s">
        <v>35</v>
      </c>
      <c r="C15" s="4" t="s">
        <v>22</v>
      </c>
      <c r="D15" s="4" t="s">
        <v>36</v>
      </c>
    </row>
    <row r="16" customFormat="false" ht="15" hidden="false" customHeight="false" outlineLevel="0" collapsed="false">
      <c r="A16" s="4" t="s">
        <v>37</v>
      </c>
      <c r="B16" s="5" t="s">
        <v>38</v>
      </c>
      <c r="C16" s="4" t="s">
        <v>22</v>
      </c>
      <c r="D16" s="4" t="s">
        <v>39</v>
      </c>
    </row>
    <row r="17" customFormat="false" ht="15" hidden="false" customHeight="false" outlineLevel="0" collapsed="false">
      <c r="A17" s="4" t="s">
        <v>40</v>
      </c>
      <c r="B17" s="5" t="s">
        <v>41</v>
      </c>
      <c r="C17" s="4" t="s">
        <v>42</v>
      </c>
      <c r="D17" s="4" t="s">
        <v>43</v>
      </c>
    </row>
    <row r="18" customFormat="false" ht="15" hidden="false" customHeight="false" outlineLevel="0" collapsed="false">
      <c r="A18" s="4" t="s">
        <v>44</v>
      </c>
      <c r="B18" s="5" t="s">
        <v>45</v>
      </c>
      <c r="C18" s="4" t="s">
        <v>42</v>
      </c>
      <c r="D18" s="4" t="s">
        <v>43</v>
      </c>
    </row>
    <row r="21" customFormat="false" ht="15" hidden="false" customHeight="false" outlineLevel="0" collapsed="false">
      <c r="A21" s="6" t="s">
        <v>46</v>
      </c>
    </row>
    <row r="22" customFormat="false" ht="15" hidden="false" customHeight="false" outlineLevel="0" collapsed="false">
      <c r="A22" s="6" t="s">
        <v>47</v>
      </c>
    </row>
    <row r="23" customFormat="false" ht="15" hidden="false" customHeight="false" outlineLevel="0" collapsed="false">
      <c r="A23" s="6" t="s">
        <v>48</v>
      </c>
    </row>
    <row r="24" customFormat="false" ht="15" hidden="false" customHeight="false" outlineLevel="0" collapsed="false">
      <c r="A24" s="6" t="s">
        <v>49</v>
      </c>
    </row>
    <row r="25" customFormat="false" ht="15" hidden="false" customHeight="false" outlineLevel="0" collapsed="false">
      <c r="A25" s="6" t="s">
        <v>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12" min="3" style="0" width="12"/>
  </cols>
  <sheetData>
    <row r="1" customFormat="false" ht="16.15" hidden="false" customHeight="fals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</row>
    <row r="5" customFormat="false" ht="15" hidden="false" customHeight="false" outlineLevel="0" collapsed="false">
      <c r="A5" s="7" t="s">
        <v>65</v>
      </c>
      <c r="B5" s="7" t="s">
        <v>66</v>
      </c>
      <c r="C5" s="8" t="n">
        <v>3079157</v>
      </c>
      <c r="D5" s="8" t="n">
        <v>3832377</v>
      </c>
      <c r="E5" s="8" t="n">
        <v>3955960</v>
      </c>
      <c r="F5" s="8" t="n">
        <v>4441897</v>
      </c>
      <c r="G5" s="8" t="n">
        <v>4000859</v>
      </c>
      <c r="H5" s="8" t="n">
        <v>4465542</v>
      </c>
      <c r="I5" s="8" t="n">
        <v>3531990</v>
      </c>
      <c r="J5" s="8" t="n">
        <v>3680125</v>
      </c>
      <c r="K5" s="8" t="n">
        <v>3904393</v>
      </c>
      <c r="L5" s="8" t="n">
        <v>3209449</v>
      </c>
    </row>
    <row r="6" customFormat="false" ht="15" hidden="false" customHeight="false" outlineLevel="0" collapsed="false">
      <c r="A6" s="9" t="s">
        <v>67</v>
      </c>
      <c r="B6" s="9" t="s">
        <v>68</v>
      </c>
      <c r="C6" s="10" t="n">
        <v>415410</v>
      </c>
      <c r="D6" s="10" t="n">
        <v>709184</v>
      </c>
      <c r="E6" s="10" t="n">
        <v>640477</v>
      </c>
      <c r="F6" s="10" t="n">
        <v>785921</v>
      </c>
      <c r="G6" s="10" t="n">
        <v>630149</v>
      </c>
      <c r="H6" s="10" t="n">
        <v>838617</v>
      </c>
      <c r="I6" s="10" t="n">
        <v>604264</v>
      </c>
      <c r="J6" s="10" t="n">
        <v>572381</v>
      </c>
      <c r="K6" s="10" t="n">
        <v>654781</v>
      </c>
      <c r="L6" s="10" t="n">
        <v>656331</v>
      </c>
    </row>
    <row r="7" customFormat="false" ht="15" hidden="false" customHeight="false" outlineLevel="0" collapsed="false">
      <c r="A7" s="9" t="s">
        <v>69</v>
      </c>
      <c r="B7" s="9" t="s">
        <v>70</v>
      </c>
      <c r="C7" s="10" t="n">
        <v>219321</v>
      </c>
      <c r="D7" s="10" t="n">
        <v>236407</v>
      </c>
      <c r="E7" s="10" t="n">
        <v>286543</v>
      </c>
      <c r="F7" s="10" t="n">
        <v>293639</v>
      </c>
      <c r="G7" s="10" t="n">
        <v>338683</v>
      </c>
      <c r="H7" s="10" t="n">
        <v>329102</v>
      </c>
      <c r="I7" s="10" t="n">
        <v>293367</v>
      </c>
      <c r="J7" s="10" t="n">
        <v>319501</v>
      </c>
      <c r="K7" s="10" t="n">
        <v>330538</v>
      </c>
      <c r="L7" s="10" t="n">
        <v>391278</v>
      </c>
    </row>
    <row r="8" customFormat="false" ht="15" hidden="false" customHeight="false" outlineLevel="0" collapsed="false">
      <c r="A8" s="9" t="s">
        <v>71</v>
      </c>
      <c r="B8" s="9" t="s">
        <v>72</v>
      </c>
      <c r="C8" s="10" t="n">
        <v>10228</v>
      </c>
      <c r="D8" s="10" t="n">
        <v>16345</v>
      </c>
      <c r="E8" s="10" t="n">
        <v>38202</v>
      </c>
      <c r="F8" s="10" t="n">
        <v>69241</v>
      </c>
      <c r="G8" s="10" t="n">
        <v>92677</v>
      </c>
      <c r="H8" s="10" t="n">
        <v>99707</v>
      </c>
      <c r="I8" s="10" t="n">
        <v>121742</v>
      </c>
      <c r="J8" s="10" t="n">
        <v>186888</v>
      </c>
      <c r="K8" s="10" t="n">
        <v>233457</v>
      </c>
      <c r="L8" s="10" t="n">
        <v>341984</v>
      </c>
    </row>
    <row r="9" customFormat="false" ht="15" hidden="false" customHeight="false" outlineLevel="0" collapsed="false">
      <c r="A9" s="9" t="s">
        <v>73</v>
      </c>
      <c r="B9" s="9" t="s">
        <v>74</v>
      </c>
      <c r="C9" s="10" t="n">
        <v>167986</v>
      </c>
      <c r="D9" s="10" t="n">
        <v>126473</v>
      </c>
      <c r="E9" s="10" t="n">
        <v>160001</v>
      </c>
      <c r="F9" s="10" t="n">
        <v>244836</v>
      </c>
      <c r="G9" s="10" t="n">
        <v>250775</v>
      </c>
      <c r="H9" s="10" t="n">
        <v>251668</v>
      </c>
      <c r="I9" s="10" t="n">
        <v>202245</v>
      </c>
      <c r="J9" s="10" t="n">
        <v>220894</v>
      </c>
      <c r="K9" s="10" t="n">
        <v>252459</v>
      </c>
      <c r="L9" s="10" t="n">
        <v>251468</v>
      </c>
    </row>
    <row r="10" customFormat="false" ht="15" hidden="false" customHeight="false" outlineLevel="0" collapsed="false">
      <c r="A10" s="9" t="s">
        <v>75</v>
      </c>
      <c r="B10" s="9" t="s">
        <v>76</v>
      </c>
      <c r="C10" s="10" t="n">
        <v>104253</v>
      </c>
      <c r="D10" s="10" t="n">
        <v>97302</v>
      </c>
      <c r="E10" s="10" t="n">
        <v>115029</v>
      </c>
      <c r="F10" s="10" t="n">
        <v>98166</v>
      </c>
      <c r="G10" s="10" t="n">
        <v>126075</v>
      </c>
      <c r="H10" s="10" t="n">
        <v>134518</v>
      </c>
      <c r="I10" s="10" t="n">
        <v>119186</v>
      </c>
      <c r="J10" s="10" t="n">
        <v>136615</v>
      </c>
      <c r="K10" s="10" t="n">
        <v>163954</v>
      </c>
      <c r="L10" s="10" t="n">
        <v>168183</v>
      </c>
    </row>
    <row r="11" customFormat="false" ht="15" hidden="false" customHeight="false" outlineLevel="0" collapsed="false">
      <c r="A11" s="9" t="s">
        <v>77</v>
      </c>
      <c r="B11" s="9" t="s">
        <v>78</v>
      </c>
      <c r="C11" s="10" t="n">
        <v>127819</v>
      </c>
      <c r="D11" s="10" t="n">
        <v>97836</v>
      </c>
      <c r="E11" s="10" t="n">
        <v>76887</v>
      </c>
      <c r="F11" s="10" t="n">
        <v>73090</v>
      </c>
      <c r="G11" s="10" t="n">
        <v>67571</v>
      </c>
      <c r="H11" s="10" t="n">
        <v>71915</v>
      </c>
      <c r="I11" s="10" t="n">
        <v>131793</v>
      </c>
      <c r="J11" s="10" t="n">
        <v>146553</v>
      </c>
      <c r="K11" s="10" t="n">
        <v>171520</v>
      </c>
      <c r="L11" s="10" t="n">
        <v>167976</v>
      </c>
    </row>
    <row r="12" customFormat="false" ht="15" hidden="false" customHeight="false" outlineLevel="0" collapsed="false">
      <c r="A12" s="9" t="s">
        <v>79</v>
      </c>
      <c r="B12" s="9" t="s">
        <v>80</v>
      </c>
      <c r="C12" s="10" t="n">
        <v>89324</v>
      </c>
      <c r="D12" s="10" t="n">
        <v>118685</v>
      </c>
      <c r="E12" s="10" t="n">
        <v>91875</v>
      </c>
      <c r="F12" s="10" t="n">
        <v>96146</v>
      </c>
      <c r="G12" s="10" t="n">
        <v>87874</v>
      </c>
      <c r="H12" s="10" t="n">
        <v>100576</v>
      </c>
      <c r="I12" s="10" t="n">
        <v>87613</v>
      </c>
      <c r="J12" s="10" t="n">
        <v>93897</v>
      </c>
      <c r="K12" s="10" t="n">
        <v>117239</v>
      </c>
      <c r="L12" s="10" t="n">
        <v>141318</v>
      </c>
    </row>
    <row r="13" customFormat="false" ht="15" hidden="false" customHeight="false" outlineLevel="0" collapsed="false">
      <c r="A13" s="9" t="s">
        <v>81</v>
      </c>
      <c r="B13" s="9" t="s">
        <v>82</v>
      </c>
      <c r="C13" s="10" t="n">
        <v>41180</v>
      </c>
      <c r="D13" s="10" t="n">
        <v>59914</v>
      </c>
      <c r="E13" s="10" t="n">
        <v>71178</v>
      </c>
      <c r="F13" s="10" t="n">
        <v>68209</v>
      </c>
      <c r="G13" s="10" t="n">
        <v>63788</v>
      </c>
      <c r="H13" s="10" t="n">
        <v>83514</v>
      </c>
      <c r="I13" s="10" t="n">
        <v>83381</v>
      </c>
      <c r="J13" s="10" t="n">
        <v>88774</v>
      </c>
      <c r="K13" s="10" t="n">
        <v>88624</v>
      </c>
      <c r="L13" s="10" t="n">
        <v>121763</v>
      </c>
    </row>
    <row r="14" customFormat="false" ht="15" hidden="false" customHeight="false" outlineLevel="0" collapsed="false">
      <c r="A14" s="9" t="s">
        <v>83</v>
      </c>
      <c r="B14" s="9" t="s">
        <v>84</v>
      </c>
      <c r="C14" s="10" t="n">
        <v>81263</v>
      </c>
      <c r="D14" s="10" t="n">
        <v>109477</v>
      </c>
      <c r="E14" s="10" t="n">
        <v>98482</v>
      </c>
      <c r="F14" s="10" t="n">
        <v>114529</v>
      </c>
      <c r="G14" s="10" t="n">
        <v>89878</v>
      </c>
      <c r="H14" s="10" t="n">
        <v>95807</v>
      </c>
      <c r="I14" s="10" t="n">
        <v>78086</v>
      </c>
      <c r="J14" s="10" t="n">
        <v>79090</v>
      </c>
      <c r="K14" s="10" t="n">
        <v>94792</v>
      </c>
      <c r="L14" s="10" t="n">
        <v>119164</v>
      </c>
    </row>
    <row r="15" customFormat="false" ht="15" hidden="false" customHeight="false" outlineLevel="0" collapsed="false">
      <c r="A15" s="9" t="s">
        <v>85</v>
      </c>
      <c r="B15" s="9" t="s">
        <v>86</v>
      </c>
      <c r="C15" s="10" t="n">
        <v>57044</v>
      </c>
      <c r="D15" s="10" t="n">
        <v>62041</v>
      </c>
      <c r="E15" s="10" t="n">
        <v>74863</v>
      </c>
      <c r="F15" s="10" t="n">
        <v>80197</v>
      </c>
      <c r="G15" s="10" t="n">
        <v>76931</v>
      </c>
      <c r="H15" s="10" t="n">
        <v>94058</v>
      </c>
      <c r="I15" s="10" t="n">
        <v>98775</v>
      </c>
      <c r="J15" s="10" t="n">
        <v>98897</v>
      </c>
      <c r="K15" s="10" t="n">
        <v>106407</v>
      </c>
      <c r="L15" s="10" t="n">
        <v>116451</v>
      </c>
    </row>
    <row r="16" customFormat="false" ht="15" hidden="false" customHeight="false" outlineLevel="0" collapsed="false">
      <c r="A16" s="9" t="s">
        <v>87</v>
      </c>
      <c r="B16" s="9" t="s">
        <v>88</v>
      </c>
      <c r="C16" s="10" t="n">
        <v>62342</v>
      </c>
      <c r="D16" s="10" t="n">
        <v>63730</v>
      </c>
      <c r="E16" s="10" t="n">
        <v>68048</v>
      </c>
      <c r="F16" s="10" t="n">
        <v>69765</v>
      </c>
      <c r="G16" s="10" t="n">
        <v>77878</v>
      </c>
      <c r="H16" s="10" t="n">
        <v>73101</v>
      </c>
      <c r="I16" s="10" t="n">
        <v>61150</v>
      </c>
      <c r="J16" s="10" t="n">
        <v>62302</v>
      </c>
      <c r="K16" s="10" t="n">
        <v>73698</v>
      </c>
      <c r="L16" s="10" t="n">
        <v>75124</v>
      </c>
    </row>
    <row r="17" customFormat="false" ht="15" hidden="false" customHeight="false" outlineLevel="0" collapsed="false">
      <c r="A17" s="9" t="s">
        <v>89</v>
      </c>
      <c r="B17" s="9" t="s">
        <v>90</v>
      </c>
      <c r="C17" s="10" t="n">
        <v>53198</v>
      </c>
      <c r="D17" s="10" t="n">
        <v>33972</v>
      </c>
      <c r="E17" s="10" t="n">
        <v>65153</v>
      </c>
      <c r="F17" s="10" t="n">
        <v>146417</v>
      </c>
      <c r="G17" s="10" t="n">
        <v>46588</v>
      </c>
      <c r="H17" s="10" t="n">
        <v>44289</v>
      </c>
      <c r="I17" s="10" t="n">
        <v>51073</v>
      </c>
      <c r="J17" s="10" t="n">
        <v>43616</v>
      </c>
      <c r="K17" s="10" t="n">
        <v>56568</v>
      </c>
      <c r="L17" s="10" t="n">
        <v>58600</v>
      </c>
    </row>
    <row r="18" customFormat="false" ht="15" hidden="false" customHeight="false" outlineLevel="0" collapsed="false">
      <c r="A18" s="9" t="s">
        <v>91</v>
      </c>
      <c r="B18" s="9" t="s">
        <v>92</v>
      </c>
      <c r="C18" s="10" t="n">
        <v>21989</v>
      </c>
      <c r="D18" s="10" t="n">
        <v>27966</v>
      </c>
      <c r="E18" s="10" t="n">
        <v>25752</v>
      </c>
      <c r="F18" s="10" t="n">
        <v>28535</v>
      </c>
      <c r="G18" s="10" t="n">
        <v>43669</v>
      </c>
      <c r="H18" s="10" t="n">
        <v>59356</v>
      </c>
      <c r="I18" s="10" t="n">
        <v>58976</v>
      </c>
      <c r="J18" s="10" t="n">
        <v>64032</v>
      </c>
      <c r="K18" s="10" t="n">
        <v>60906</v>
      </c>
      <c r="L18" s="10" t="n">
        <v>55196</v>
      </c>
    </row>
    <row r="19" customFormat="false" ht="15" hidden="false" customHeight="false" outlineLevel="0" collapsed="false">
      <c r="A19" s="9" t="s">
        <v>93</v>
      </c>
      <c r="B19" s="9" t="s">
        <v>94</v>
      </c>
      <c r="C19" s="10" t="n">
        <v>15286</v>
      </c>
      <c r="D19" s="10" t="n">
        <v>26152</v>
      </c>
      <c r="E19" s="10" t="n">
        <v>18560</v>
      </c>
      <c r="F19" s="10" t="n">
        <v>24754</v>
      </c>
      <c r="G19" s="10" t="n">
        <v>22102</v>
      </c>
      <c r="H19" s="10" t="n">
        <v>34881</v>
      </c>
      <c r="I19" s="10" t="n">
        <v>25424</v>
      </c>
      <c r="J19" s="10" t="n">
        <v>34790</v>
      </c>
      <c r="K19" s="10" t="n">
        <v>35367</v>
      </c>
      <c r="L19" s="10" t="n">
        <v>45961</v>
      </c>
    </row>
    <row r="20" customFormat="false" ht="15" hidden="false" customHeight="false" outlineLevel="0" collapsed="false">
      <c r="A20" s="9" t="s">
        <v>95</v>
      </c>
      <c r="B20" s="9" t="s">
        <v>96</v>
      </c>
      <c r="C20" s="10" t="n">
        <v>51916</v>
      </c>
      <c r="D20" s="10" t="n">
        <v>53015</v>
      </c>
      <c r="E20" s="10" t="n">
        <v>33547</v>
      </c>
      <c r="F20" s="10" t="n">
        <v>33349</v>
      </c>
      <c r="G20" s="10" t="n">
        <v>33437</v>
      </c>
      <c r="H20" s="10" t="n">
        <v>34642</v>
      </c>
      <c r="I20" s="10" t="n">
        <v>41064</v>
      </c>
      <c r="J20" s="10" t="n">
        <v>28202</v>
      </c>
      <c r="K20" s="10" t="n">
        <v>35347</v>
      </c>
      <c r="L20" s="10" t="n">
        <v>44424</v>
      </c>
    </row>
    <row r="21" customFormat="false" ht="15" hidden="false" customHeight="false" outlineLevel="0" collapsed="false">
      <c r="A21" s="9" t="s">
        <v>97</v>
      </c>
      <c r="B21" s="9" t="s">
        <v>98</v>
      </c>
      <c r="C21" s="10" t="n">
        <v>11814</v>
      </c>
      <c r="D21" s="10" t="n">
        <v>13843</v>
      </c>
      <c r="E21" s="10" t="n">
        <v>17841</v>
      </c>
      <c r="F21" s="10" t="n">
        <v>26830</v>
      </c>
      <c r="G21" s="10" t="n">
        <v>36736</v>
      </c>
      <c r="H21" s="10" t="n">
        <v>37192</v>
      </c>
      <c r="I21" s="10" t="n">
        <v>39137</v>
      </c>
      <c r="J21" s="10" t="n">
        <v>38830</v>
      </c>
      <c r="K21" s="10" t="n">
        <v>34581</v>
      </c>
      <c r="L21" s="10" t="n">
        <v>43813</v>
      </c>
    </row>
    <row r="22" customFormat="false" ht="15" hidden="false" customHeight="false" outlineLevel="0" collapsed="false">
      <c r="A22" s="9" t="s">
        <v>99</v>
      </c>
      <c r="B22" s="9" t="s">
        <v>100</v>
      </c>
      <c r="C22" s="10" t="n">
        <v>5525</v>
      </c>
      <c r="D22" s="10" t="n">
        <v>4892</v>
      </c>
      <c r="E22" s="10" t="n">
        <v>4514</v>
      </c>
      <c r="F22" s="10" t="n">
        <v>4110</v>
      </c>
      <c r="G22" s="10" t="n">
        <v>18489</v>
      </c>
      <c r="H22" s="10" t="n">
        <v>34873</v>
      </c>
      <c r="I22" s="10" t="n">
        <v>32833</v>
      </c>
      <c r="J22" s="10" t="n">
        <v>35385</v>
      </c>
      <c r="K22" s="10" t="n">
        <v>43728</v>
      </c>
      <c r="L22" s="10" t="n">
        <v>42422</v>
      </c>
    </row>
    <row r="23" customFormat="false" ht="15" hidden="false" customHeight="false" outlineLevel="0" collapsed="false">
      <c r="A23" s="9" t="s">
        <v>101</v>
      </c>
      <c r="B23" s="9" t="s">
        <v>102</v>
      </c>
      <c r="C23" s="10" t="n">
        <v>0</v>
      </c>
      <c r="D23" s="10" t="n">
        <v>106</v>
      </c>
      <c r="E23" s="10" t="n">
        <v>1232</v>
      </c>
      <c r="F23" s="10" t="n">
        <v>1404</v>
      </c>
      <c r="G23" s="10" t="n">
        <v>587</v>
      </c>
      <c r="H23" s="10" t="n">
        <v>223</v>
      </c>
      <c r="I23" s="10" t="n">
        <v>3711</v>
      </c>
      <c r="J23" s="10" t="n">
        <v>23243</v>
      </c>
      <c r="K23" s="10" t="n">
        <v>32204</v>
      </c>
      <c r="L23" s="10" t="n">
        <v>39983</v>
      </c>
    </row>
    <row r="24" customFormat="false" ht="15" hidden="false" customHeight="false" outlineLevel="0" collapsed="false">
      <c r="A24" s="9" t="s">
        <v>103</v>
      </c>
      <c r="B24" s="9" t="s">
        <v>104</v>
      </c>
      <c r="C24" s="10" t="n">
        <v>14397</v>
      </c>
      <c r="D24" s="10" t="n">
        <v>14221</v>
      </c>
      <c r="E24" s="10" t="n">
        <v>13778</v>
      </c>
      <c r="F24" s="10" t="n">
        <v>16669</v>
      </c>
      <c r="G24" s="10" t="n">
        <v>18565</v>
      </c>
      <c r="H24" s="10" t="n">
        <v>17171</v>
      </c>
      <c r="I24" s="10" t="n">
        <v>19638</v>
      </c>
      <c r="J24" s="10" t="n">
        <v>26568</v>
      </c>
      <c r="K24" s="10" t="n">
        <v>28620</v>
      </c>
      <c r="L24" s="10" t="n">
        <v>36447</v>
      </c>
    </row>
    <row r="25" customFormat="false" ht="15" hidden="false" customHeight="false" outlineLevel="0" collapsed="false">
      <c r="A25" s="9" t="s">
        <v>105</v>
      </c>
      <c r="B25" s="9" t="s">
        <v>106</v>
      </c>
      <c r="C25" s="10" t="n">
        <v>13956</v>
      </c>
      <c r="D25" s="10" t="n">
        <v>12880</v>
      </c>
      <c r="E25" s="10" t="n">
        <v>15649</v>
      </c>
      <c r="F25" s="10" t="n">
        <v>16514</v>
      </c>
      <c r="G25" s="10" t="n">
        <v>20639</v>
      </c>
      <c r="H25" s="10" t="n">
        <v>20133</v>
      </c>
      <c r="I25" s="10" t="n">
        <v>19488</v>
      </c>
      <c r="J25" s="10" t="n">
        <v>19580</v>
      </c>
      <c r="K25" s="10" t="n">
        <v>24856</v>
      </c>
      <c r="L25" s="10" t="n">
        <v>31681</v>
      </c>
    </row>
    <row r="26" customFormat="false" ht="15" hidden="false" customHeight="false" outlineLevel="0" collapsed="false">
      <c r="A26" s="9" t="s">
        <v>107</v>
      </c>
      <c r="B26" s="9" t="s">
        <v>108</v>
      </c>
      <c r="C26" s="10" t="n">
        <v>11902</v>
      </c>
      <c r="D26" s="10" t="n">
        <v>11785</v>
      </c>
      <c r="E26" s="10" t="n">
        <v>12566</v>
      </c>
      <c r="F26" s="10" t="n">
        <v>11528</v>
      </c>
      <c r="G26" s="10" t="n">
        <v>16550</v>
      </c>
      <c r="H26" s="10" t="n">
        <v>15601</v>
      </c>
      <c r="I26" s="10" t="n">
        <v>15161</v>
      </c>
      <c r="J26" s="10" t="n">
        <v>17469</v>
      </c>
      <c r="K26" s="10" t="n">
        <v>22700</v>
      </c>
      <c r="L26" s="10" t="n">
        <v>31159</v>
      </c>
    </row>
    <row r="27" customFormat="false" ht="15" hidden="false" customHeight="false" outlineLevel="0" collapsed="false">
      <c r="A27" s="9" t="s">
        <v>109</v>
      </c>
      <c r="B27" s="9" t="s">
        <v>110</v>
      </c>
      <c r="C27" s="10" t="n">
        <v>10296</v>
      </c>
      <c r="D27" s="10" t="n">
        <v>11665</v>
      </c>
      <c r="E27" s="10" t="n">
        <v>13880</v>
      </c>
      <c r="F27" s="10" t="n">
        <v>11056</v>
      </c>
      <c r="G27" s="10" t="n">
        <v>12513</v>
      </c>
      <c r="H27" s="10" t="n">
        <v>9723</v>
      </c>
      <c r="I27" s="10" t="n">
        <v>10653</v>
      </c>
      <c r="J27" s="10" t="n">
        <v>12965</v>
      </c>
      <c r="K27" s="10" t="n">
        <v>11893</v>
      </c>
      <c r="L27" s="10" t="n">
        <v>20113</v>
      </c>
    </row>
    <row r="28" customFormat="false" ht="15" hidden="false" customHeight="false" outlineLevel="0" collapsed="false">
      <c r="A28" s="9" t="s">
        <v>111</v>
      </c>
      <c r="B28" s="9" t="s">
        <v>112</v>
      </c>
      <c r="C28" s="10" t="n">
        <v>18689</v>
      </c>
      <c r="D28" s="10" t="n">
        <v>16383</v>
      </c>
      <c r="E28" s="10" t="n">
        <v>19358</v>
      </c>
      <c r="F28" s="10" t="n">
        <v>18874</v>
      </c>
      <c r="G28" s="10" t="n">
        <v>15708</v>
      </c>
      <c r="H28" s="10" t="n">
        <v>18682</v>
      </c>
      <c r="I28" s="10" t="n">
        <v>14614</v>
      </c>
      <c r="J28" s="10" t="n">
        <v>19596</v>
      </c>
      <c r="K28" s="10" t="n">
        <v>18798</v>
      </c>
      <c r="L28" s="10" t="n">
        <v>18324</v>
      </c>
    </row>
    <row r="29" customFormat="false" ht="15" hidden="false" customHeight="false" outlineLevel="0" collapsed="false">
      <c r="A29" s="9" t="s">
        <v>113</v>
      </c>
      <c r="B29" s="9" t="s">
        <v>114</v>
      </c>
      <c r="C29" s="10" t="n">
        <v>89457</v>
      </c>
      <c r="D29" s="10" t="n">
        <v>123789</v>
      </c>
      <c r="E29" s="10" t="n">
        <v>82966</v>
      </c>
      <c r="F29" s="10" t="n">
        <v>121181</v>
      </c>
      <c r="G29" s="10" t="n">
        <v>105764</v>
      </c>
      <c r="H29" s="10" t="n">
        <v>233954</v>
      </c>
      <c r="I29" s="10" t="n">
        <v>87274</v>
      </c>
      <c r="J29" s="10" t="n">
        <v>18714</v>
      </c>
      <c r="K29" s="10" t="n">
        <v>20778</v>
      </c>
      <c r="L29" s="10" t="n">
        <v>17140</v>
      </c>
    </row>
    <row r="30" customFormat="false" ht="15" hidden="false" customHeight="false" outlineLevel="0" collapsed="false">
      <c r="A30" s="9" t="s">
        <v>115</v>
      </c>
      <c r="B30" s="9" t="s">
        <v>116</v>
      </c>
      <c r="C30" s="10" t="n">
        <v>6102</v>
      </c>
      <c r="D30" s="10" t="n">
        <v>8245</v>
      </c>
      <c r="E30" s="10"/>
      <c r="F30" s="10" t="n">
        <v>10940</v>
      </c>
      <c r="G30" s="10" t="n">
        <v>6377</v>
      </c>
      <c r="H30" s="10" t="n">
        <v>10172</v>
      </c>
      <c r="I30" s="10" t="n">
        <v>11281</v>
      </c>
      <c r="J30" s="10" t="n">
        <v>10921</v>
      </c>
      <c r="K30" s="10" t="n">
        <v>11259</v>
      </c>
      <c r="L30" s="10" t="n">
        <v>14986</v>
      </c>
    </row>
    <row r="31" customFormat="false" ht="15" hidden="false" customHeight="false" outlineLevel="0" collapsed="false">
      <c r="A31" s="9" t="s">
        <v>117</v>
      </c>
      <c r="B31" s="9" t="s">
        <v>118</v>
      </c>
      <c r="C31" s="10" t="n">
        <v>6739</v>
      </c>
      <c r="D31" s="10" t="n">
        <v>3354</v>
      </c>
      <c r="E31" s="10" t="n">
        <v>3010</v>
      </c>
      <c r="F31" s="10" t="n">
        <v>3798</v>
      </c>
      <c r="G31" s="10" t="n">
        <v>2638</v>
      </c>
      <c r="H31" s="10" t="n">
        <v>2860</v>
      </c>
      <c r="I31" s="10" t="n">
        <v>4678</v>
      </c>
      <c r="J31" s="10" t="n">
        <v>5914</v>
      </c>
      <c r="K31" s="10" t="n">
        <v>8007</v>
      </c>
      <c r="L31" s="10" t="n">
        <v>14305</v>
      </c>
    </row>
    <row r="32" customFormat="false" ht="15" hidden="false" customHeight="false" outlineLevel="0" collapsed="false">
      <c r="A32" s="9" t="s">
        <v>119</v>
      </c>
      <c r="B32" s="9" t="s">
        <v>120</v>
      </c>
      <c r="C32" s="10" t="n">
        <v>7033</v>
      </c>
      <c r="D32" s="10" t="n">
        <v>7261</v>
      </c>
      <c r="E32" s="10" t="n">
        <v>9828</v>
      </c>
      <c r="F32" s="10" t="n">
        <v>8175</v>
      </c>
      <c r="G32" s="10" t="n">
        <v>10554</v>
      </c>
      <c r="H32" s="10" t="n">
        <v>12340</v>
      </c>
      <c r="I32" s="10" t="n">
        <v>14237</v>
      </c>
      <c r="J32" s="10" t="n">
        <v>13377</v>
      </c>
      <c r="K32" s="10" t="n">
        <v>12027</v>
      </c>
      <c r="L32" s="10" t="n">
        <v>13550</v>
      </c>
    </row>
    <row r="33" customFormat="false" ht="15" hidden="false" customHeight="false" outlineLevel="0" collapsed="false">
      <c r="A33" s="9" t="s">
        <v>121</v>
      </c>
      <c r="B33" s="9" t="s">
        <v>122</v>
      </c>
      <c r="C33" s="10" t="n">
        <v>2876</v>
      </c>
      <c r="D33" s="10" t="n">
        <v>7897</v>
      </c>
      <c r="E33" s="10" t="n">
        <v>4836</v>
      </c>
      <c r="F33" s="10" t="n">
        <v>3336</v>
      </c>
      <c r="G33" s="10" t="n">
        <v>2513</v>
      </c>
      <c r="H33" s="10" t="n">
        <v>2024</v>
      </c>
      <c r="I33" s="10" t="n">
        <v>2712</v>
      </c>
      <c r="J33" s="10" t="n">
        <v>7191</v>
      </c>
      <c r="K33" s="10" t="n">
        <v>8292</v>
      </c>
      <c r="L33" s="10" t="n">
        <v>12875</v>
      </c>
    </row>
    <row r="34" customFormat="false" ht="15" hidden="false" customHeight="false" outlineLevel="0" collapsed="false">
      <c r="A34" s="9" t="s">
        <v>123</v>
      </c>
      <c r="B34" s="9" t="s">
        <v>124</v>
      </c>
      <c r="C34" s="10" t="n">
        <v>36355</v>
      </c>
      <c r="D34" s="10" t="n">
        <v>33955</v>
      </c>
      <c r="E34" s="10" t="n">
        <v>48563</v>
      </c>
      <c r="F34" s="10" t="n">
        <v>63374</v>
      </c>
      <c r="G34" s="10" t="n">
        <v>69839</v>
      </c>
      <c r="H34" s="10" t="n">
        <v>68344</v>
      </c>
      <c r="I34" s="10" t="n">
        <v>13525</v>
      </c>
      <c r="J34" s="10" t="n">
        <v>10353</v>
      </c>
      <c r="K34" s="10" t="n">
        <v>25058</v>
      </c>
      <c r="L34" s="10" t="n">
        <v>11802</v>
      </c>
    </row>
    <row r="35" customFormat="false" ht="15" hidden="false" customHeight="false" outlineLevel="0" collapsed="false">
      <c r="A35" s="9" t="s">
        <v>125</v>
      </c>
      <c r="B35" s="9" t="s">
        <v>126</v>
      </c>
      <c r="C35" s="10" t="n">
        <v>562</v>
      </c>
      <c r="D35" s="10" t="n">
        <v>523</v>
      </c>
      <c r="E35" s="10" t="n">
        <v>859</v>
      </c>
      <c r="F35" s="10" t="n">
        <v>338</v>
      </c>
      <c r="G35" s="10" t="n">
        <v>519</v>
      </c>
      <c r="H35" s="10" t="n">
        <v>2016</v>
      </c>
      <c r="I35" s="10" t="n">
        <v>3013</v>
      </c>
      <c r="J35" s="10" t="n">
        <v>4668</v>
      </c>
      <c r="K35" s="10" t="n">
        <v>5366</v>
      </c>
      <c r="L35" s="10" t="n">
        <v>8932</v>
      </c>
    </row>
    <row r="36" customFormat="false" ht="15" hidden="false" customHeight="false" outlineLevel="0" collapsed="false">
      <c r="A36" s="9" t="s">
        <v>127</v>
      </c>
      <c r="B36" s="9" t="s">
        <v>128</v>
      </c>
      <c r="C36" s="10" t="n">
        <v>10252</v>
      </c>
      <c r="D36" s="10" t="n">
        <v>14865</v>
      </c>
      <c r="E36" s="10" t="n">
        <v>17225</v>
      </c>
      <c r="F36" s="10" t="n">
        <v>10579</v>
      </c>
      <c r="G36" s="10" t="n">
        <v>14676</v>
      </c>
      <c r="H36" s="10" t="n">
        <v>7819</v>
      </c>
      <c r="I36" s="10" t="n">
        <v>16311</v>
      </c>
      <c r="J36" s="10" t="n">
        <v>10123</v>
      </c>
      <c r="K36" s="10" t="n">
        <v>3932</v>
      </c>
      <c r="L36" s="10" t="n">
        <v>8109</v>
      </c>
    </row>
    <row r="37" customFormat="false" ht="15" hidden="false" customHeight="false" outlineLevel="0" collapsed="false">
      <c r="A37" s="9" t="s">
        <v>129</v>
      </c>
      <c r="B37" s="9" t="s">
        <v>130</v>
      </c>
      <c r="C37" s="10" t="n">
        <v>4789</v>
      </c>
      <c r="D37" s="10" t="n">
        <v>8586</v>
      </c>
      <c r="E37" s="10" t="n">
        <v>3484</v>
      </c>
      <c r="F37" s="10" t="n">
        <v>5965</v>
      </c>
      <c r="G37" s="10" t="n">
        <v>14352</v>
      </c>
      <c r="H37" s="10" t="n">
        <v>21907</v>
      </c>
      <c r="I37" s="10" t="n">
        <v>10405</v>
      </c>
      <c r="J37" s="10" t="n">
        <v>5001</v>
      </c>
      <c r="K37" s="10" t="n">
        <v>10055</v>
      </c>
      <c r="L37" s="10" t="n">
        <v>7867</v>
      </c>
    </row>
    <row r="38" customFormat="false" ht="15" hidden="false" customHeight="false" outlineLevel="0" collapsed="false">
      <c r="A38" s="9" t="s">
        <v>131</v>
      </c>
      <c r="B38" s="9" t="s">
        <v>132</v>
      </c>
      <c r="C38" s="10" t="n">
        <v>1763</v>
      </c>
      <c r="D38" s="10" t="n">
        <v>1582</v>
      </c>
      <c r="E38" s="10" t="n">
        <v>2425</v>
      </c>
      <c r="F38" s="10" t="n">
        <v>2990</v>
      </c>
      <c r="G38" s="10" t="n">
        <v>2048</v>
      </c>
      <c r="H38" s="10" t="n">
        <v>4068</v>
      </c>
      <c r="I38" s="10" t="n">
        <v>5859</v>
      </c>
      <c r="J38" s="10" t="n">
        <v>5801</v>
      </c>
      <c r="K38" s="10" t="n">
        <v>5097</v>
      </c>
      <c r="L38" s="10" t="n">
        <v>7394</v>
      </c>
    </row>
    <row r="39" customFormat="false" ht="15" hidden="false" customHeight="false" outlineLevel="0" collapsed="false">
      <c r="A39" s="9" t="s">
        <v>133</v>
      </c>
      <c r="B39" s="9" t="s">
        <v>134</v>
      </c>
      <c r="C39" s="10" t="n">
        <v>6223</v>
      </c>
      <c r="D39" s="10" t="n">
        <v>10751</v>
      </c>
      <c r="E39" s="10" t="n">
        <v>8574</v>
      </c>
      <c r="F39" s="10" t="n">
        <v>8277</v>
      </c>
      <c r="G39" s="10" t="n">
        <v>5375</v>
      </c>
      <c r="H39" s="10" t="n">
        <v>6056</v>
      </c>
      <c r="I39" s="10" t="n">
        <v>3938</v>
      </c>
      <c r="J39" s="10" t="n">
        <v>5528</v>
      </c>
      <c r="K39" s="10" t="n">
        <v>4051</v>
      </c>
      <c r="L39" s="10" t="n">
        <v>7217</v>
      </c>
    </row>
    <row r="40" customFormat="false" ht="15" hidden="false" customHeight="false" outlineLevel="0" collapsed="false">
      <c r="A40" s="9" t="s">
        <v>135</v>
      </c>
      <c r="B40" s="9" t="s">
        <v>136</v>
      </c>
      <c r="C40" s="10" t="n">
        <v>2151</v>
      </c>
      <c r="D40" s="10" t="n">
        <v>5134</v>
      </c>
      <c r="E40" s="10" t="n">
        <v>3806</v>
      </c>
      <c r="F40" s="10" t="n">
        <v>2996</v>
      </c>
      <c r="G40" s="10" t="n">
        <v>4774</v>
      </c>
      <c r="H40" s="10" t="n">
        <v>6367</v>
      </c>
      <c r="I40" s="10" t="n">
        <v>9951</v>
      </c>
      <c r="J40" s="10" t="n">
        <v>7058</v>
      </c>
      <c r="K40" s="10" t="n">
        <v>7730</v>
      </c>
      <c r="L40" s="10" t="n">
        <v>4857</v>
      </c>
    </row>
    <row r="41" customFormat="false" ht="15" hidden="false" customHeight="false" outlineLevel="0" collapsed="false">
      <c r="A41" s="9" t="s">
        <v>137</v>
      </c>
      <c r="B41" s="9" t="s">
        <v>138</v>
      </c>
      <c r="C41" s="10" t="n">
        <v>4480</v>
      </c>
      <c r="D41" s="10" t="n">
        <v>4559</v>
      </c>
      <c r="E41" s="10" t="n">
        <v>4442</v>
      </c>
      <c r="F41" s="10" t="n">
        <v>2752</v>
      </c>
      <c r="G41" s="10" t="n">
        <v>3409</v>
      </c>
      <c r="H41" s="10" t="n">
        <v>3706</v>
      </c>
      <c r="I41" s="10" t="n">
        <v>2942</v>
      </c>
      <c r="J41" s="10" t="n">
        <v>2852</v>
      </c>
      <c r="K41" s="10" t="n">
        <v>3140</v>
      </c>
      <c r="L41" s="10" t="n">
        <v>4141</v>
      </c>
    </row>
    <row r="42" customFormat="false" ht="15" hidden="false" customHeight="false" outlineLevel="0" collapsed="false">
      <c r="A42" s="9" t="s">
        <v>139</v>
      </c>
      <c r="B42" s="9" t="s">
        <v>140</v>
      </c>
      <c r="C42" s="10" t="n">
        <v>1576</v>
      </c>
      <c r="D42" s="10" t="n">
        <v>937</v>
      </c>
      <c r="E42" s="10" t="n">
        <v>2110</v>
      </c>
      <c r="F42" s="10" t="n">
        <v>1284</v>
      </c>
      <c r="G42" s="10" t="n">
        <v>1361</v>
      </c>
      <c r="H42" s="10" t="n">
        <v>1574</v>
      </c>
      <c r="I42" s="10" t="n">
        <v>1896</v>
      </c>
      <c r="J42" s="10" t="n">
        <v>1981</v>
      </c>
      <c r="K42" s="10" t="n">
        <v>2494</v>
      </c>
      <c r="L42" s="10" t="n">
        <v>4131</v>
      </c>
    </row>
    <row r="43" customFormat="false" ht="15" hidden="false" customHeight="false" outlineLevel="0" collapsed="false">
      <c r="A43" s="9" t="s">
        <v>141</v>
      </c>
      <c r="B43" s="9" t="s">
        <v>142</v>
      </c>
      <c r="C43" s="10" t="n">
        <v>2343</v>
      </c>
      <c r="D43" s="10" t="n">
        <v>4957</v>
      </c>
      <c r="E43" s="10" t="n">
        <v>3829</v>
      </c>
      <c r="F43" s="10" t="n">
        <v>5314</v>
      </c>
      <c r="G43" s="10" t="n">
        <v>10820</v>
      </c>
      <c r="H43" s="10" t="n">
        <v>12637</v>
      </c>
      <c r="I43" s="10" t="n">
        <v>7166</v>
      </c>
      <c r="J43" s="10" t="n">
        <v>2962</v>
      </c>
      <c r="K43" s="10" t="n">
        <v>3293</v>
      </c>
      <c r="L43" s="10" t="n">
        <v>3889</v>
      </c>
    </row>
    <row r="44" customFormat="false" ht="15" hidden="false" customHeight="false" outlineLevel="0" collapsed="false">
      <c r="A44" s="9" t="s">
        <v>143</v>
      </c>
      <c r="B44" s="9" t="s">
        <v>144</v>
      </c>
      <c r="C44" s="10" t="n">
        <v>280</v>
      </c>
      <c r="D44" s="10" t="n">
        <v>615</v>
      </c>
      <c r="E44" s="10" t="n">
        <v>318</v>
      </c>
      <c r="F44" s="10" t="n">
        <v>290</v>
      </c>
      <c r="G44" s="10" t="n">
        <v>584</v>
      </c>
      <c r="H44" s="10" t="n">
        <v>593</v>
      </c>
      <c r="I44" s="10" t="n">
        <v>2722</v>
      </c>
      <c r="J44" s="10" t="n">
        <v>2684</v>
      </c>
      <c r="K44" s="10" t="n">
        <v>2516</v>
      </c>
      <c r="L44" s="10" t="n">
        <v>3404</v>
      </c>
    </row>
    <row r="45" customFormat="false" ht="15" hidden="false" customHeight="false" outlineLevel="0" collapsed="false">
      <c r="A45" s="9" t="s">
        <v>145</v>
      </c>
      <c r="B45" s="9" t="s">
        <v>146</v>
      </c>
      <c r="C45" s="10" t="n">
        <v>1607</v>
      </c>
      <c r="D45" s="10" t="n">
        <v>1906</v>
      </c>
      <c r="E45" s="10" t="n">
        <v>2098</v>
      </c>
      <c r="F45" s="10" t="n">
        <v>2359</v>
      </c>
      <c r="G45" s="10" t="n">
        <v>2208</v>
      </c>
      <c r="H45" s="10" t="n">
        <v>2921</v>
      </c>
      <c r="I45" s="10" t="n">
        <v>2951</v>
      </c>
      <c r="J45" s="10" t="n">
        <v>2913</v>
      </c>
      <c r="K45" s="10" t="n">
        <v>3430</v>
      </c>
      <c r="L45" s="10" t="n">
        <v>3183</v>
      </c>
    </row>
    <row r="46" customFormat="false" ht="15" hidden="false" customHeight="false" outlineLevel="0" collapsed="false">
      <c r="A46" s="9" t="s">
        <v>147</v>
      </c>
      <c r="B46" s="9" t="s">
        <v>148</v>
      </c>
      <c r="C46" s="10" t="n">
        <v>591</v>
      </c>
      <c r="D46" s="10" t="n">
        <v>982</v>
      </c>
      <c r="E46" s="10" t="n">
        <v>1091</v>
      </c>
      <c r="F46" s="10" t="n">
        <v>1172</v>
      </c>
      <c r="G46" s="10" t="n">
        <v>1823</v>
      </c>
      <c r="H46" s="10" t="n">
        <v>1923</v>
      </c>
      <c r="I46" s="10" t="n">
        <v>2274</v>
      </c>
      <c r="J46" s="10" t="n">
        <v>2261</v>
      </c>
      <c r="K46" s="10" t="n">
        <v>2044</v>
      </c>
      <c r="L46" s="10" t="n">
        <v>3080</v>
      </c>
    </row>
    <row r="47" customFormat="false" ht="15" hidden="false" customHeight="false" outlineLevel="0" collapsed="false">
      <c r="A47" s="9" t="s">
        <v>149</v>
      </c>
      <c r="B47" s="9" t="s">
        <v>150</v>
      </c>
      <c r="C47" s="10" t="n">
        <v>1612</v>
      </c>
      <c r="D47" s="10" t="n">
        <v>1579</v>
      </c>
      <c r="E47" s="10" t="n">
        <v>2242</v>
      </c>
      <c r="F47" s="10" t="n">
        <v>2309</v>
      </c>
      <c r="G47" s="10" t="n">
        <v>2621</v>
      </c>
      <c r="H47" s="10" t="n">
        <v>3597</v>
      </c>
      <c r="I47" s="10" t="n">
        <v>2189</v>
      </c>
      <c r="J47" s="10" t="n">
        <v>2305</v>
      </c>
      <c r="K47" s="10" t="n">
        <v>2293</v>
      </c>
      <c r="L47" s="10" t="n">
        <v>2870</v>
      </c>
    </row>
    <row r="48" customFormat="false" ht="15" hidden="false" customHeight="false" outlineLevel="0" collapsed="false">
      <c r="A48" s="9" t="s">
        <v>151</v>
      </c>
      <c r="B48" s="9" t="s">
        <v>152</v>
      </c>
      <c r="C48" s="10" t="n">
        <v>2441</v>
      </c>
      <c r="D48" s="10" t="n">
        <v>1943</v>
      </c>
      <c r="E48" s="10" t="n">
        <v>1817</v>
      </c>
      <c r="F48" s="10" t="n">
        <v>3697</v>
      </c>
      <c r="G48" s="10" t="n">
        <v>3924</v>
      </c>
      <c r="H48" s="10" t="n">
        <v>5928</v>
      </c>
      <c r="I48" s="10" t="n">
        <v>3514</v>
      </c>
      <c r="J48" s="10" t="n">
        <v>2387</v>
      </c>
      <c r="K48" s="10" t="n">
        <v>1885</v>
      </c>
      <c r="L48" s="10" t="n">
        <v>2800</v>
      </c>
    </row>
    <row r="49" customFormat="false" ht="15" hidden="false" customHeight="false" outlineLevel="0" collapsed="false">
      <c r="A49" s="9" t="s">
        <v>153</v>
      </c>
      <c r="B49" s="9" t="s">
        <v>154</v>
      </c>
      <c r="C49" s="10" t="n">
        <v>6947</v>
      </c>
      <c r="D49" s="10" t="n">
        <v>9185</v>
      </c>
      <c r="E49" s="10" t="n">
        <v>5929</v>
      </c>
      <c r="F49" s="10" t="n">
        <v>7456</v>
      </c>
      <c r="G49" s="10" t="n">
        <v>3976</v>
      </c>
      <c r="H49" s="10" t="n">
        <v>6721</v>
      </c>
      <c r="I49" s="10" t="n">
        <v>4962</v>
      </c>
      <c r="J49" s="10" t="n">
        <v>3682</v>
      </c>
      <c r="K49" s="10" t="n">
        <v>4221</v>
      </c>
      <c r="L49" s="10" t="n">
        <v>2703</v>
      </c>
    </row>
    <row r="50" customFormat="false" ht="15" hidden="false" customHeight="false" outlineLevel="0" collapsed="false">
      <c r="A50" s="9" t="s">
        <v>155</v>
      </c>
      <c r="B50" s="9" t="s">
        <v>156</v>
      </c>
      <c r="C50" s="10" t="n">
        <v>759</v>
      </c>
      <c r="D50" s="10" t="n">
        <v>915</v>
      </c>
      <c r="E50" s="10" t="n">
        <v>890</v>
      </c>
      <c r="F50" s="10" t="n">
        <v>1480</v>
      </c>
      <c r="G50" s="10" t="n">
        <v>1750</v>
      </c>
      <c r="H50" s="10" t="n">
        <v>1860</v>
      </c>
      <c r="I50" s="10" t="n">
        <v>1628</v>
      </c>
      <c r="J50" s="10" t="n">
        <v>1914</v>
      </c>
      <c r="K50" s="10" t="n">
        <v>2425</v>
      </c>
      <c r="L50" s="10" t="n">
        <v>2446</v>
      </c>
    </row>
    <row r="51" customFormat="false" ht="15" hidden="false" customHeight="false" outlineLevel="0" collapsed="false">
      <c r="A51" s="9" t="s">
        <v>157</v>
      </c>
      <c r="B51" s="9" t="s">
        <v>158</v>
      </c>
      <c r="C51" s="10" t="n">
        <v>3722</v>
      </c>
      <c r="D51" s="10" t="n">
        <v>3647</v>
      </c>
      <c r="E51" s="10" t="n">
        <v>3108</v>
      </c>
      <c r="F51" s="10" t="n">
        <v>3088</v>
      </c>
      <c r="G51" s="10" t="n">
        <v>2630</v>
      </c>
      <c r="H51" s="10" t="n">
        <v>2140</v>
      </c>
      <c r="I51" s="10" t="n">
        <v>2317</v>
      </c>
      <c r="J51" s="10" t="n">
        <v>2339</v>
      </c>
      <c r="K51" s="10" t="n">
        <v>2353</v>
      </c>
      <c r="L51" s="10" t="n">
        <v>2398</v>
      </c>
    </row>
    <row r="52" customFormat="false" ht="15" hidden="false" customHeight="false" outlineLevel="0" collapsed="false">
      <c r="A52" s="9" t="s">
        <v>159</v>
      </c>
      <c r="B52" s="9" t="s">
        <v>160</v>
      </c>
      <c r="C52" s="10" t="n">
        <v>1115</v>
      </c>
      <c r="D52" s="10" t="n">
        <v>1018</v>
      </c>
      <c r="E52" s="10" t="n">
        <v>625</v>
      </c>
      <c r="F52" s="10" t="n">
        <v>1479</v>
      </c>
      <c r="G52" s="10" t="n">
        <v>3086</v>
      </c>
      <c r="H52" s="10" t="n">
        <v>2520</v>
      </c>
      <c r="I52" s="10" t="n">
        <v>1849</v>
      </c>
      <c r="J52" s="10" t="n">
        <v>2510</v>
      </c>
      <c r="K52" s="10" t="n">
        <v>2382</v>
      </c>
      <c r="L52" s="10" t="n">
        <v>2313</v>
      </c>
    </row>
    <row r="53" customFormat="false" ht="15" hidden="false" customHeight="false" outlineLevel="0" collapsed="false">
      <c r="A53" s="9" t="s">
        <v>161</v>
      </c>
      <c r="B53" s="9" t="s">
        <v>162</v>
      </c>
      <c r="C53" s="10" t="n">
        <v>192</v>
      </c>
      <c r="D53" s="10" t="n">
        <v>258</v>
      </c>
      <c r="E53" s="10" t="n">
        <v>629</v>
      </c>
      <c r="F53" s="10" t="n">
        <v>604</v>
      </c>
      <c r="G53" s="10" t="n">
        <v>1017</v>
      </c>
      <c r="H53" s="10" t="n">
        <v>889</v>
      </c>
      <c r="I53" s="10" t="n">
        <v>1219</v>
      </c>
      <c r="J53" s="10" t="n">
        <v>559</v>
      </c>
      <c r="K53" s="10" t="n">
        <v>1213</v>
      </c>
      <c r="L53" s="10" t="n">
        <v>1932</v>
      </c>
    </row>
    <row r="54" customFormat="false" ht="15" hidden="false" customHeight="false" outlineLevel="0" collapsed="false">
      <c r="A54" s="9" t="s">
        <v>163</v>
      </c>
      <c r="B54" s="9" t="s">
        <v>164</v>
      </c>
      <c r="C54" s="10" t="n">
        <v>6854</v>
      </c>
      <c r="D54" s="10" t="n">
        <v>2458</v>
      </c>
      <c r="E54" s="10" t="n">
        <v>2591</v>
      </c>
      <c r="F54" s="10" t="n">
        <v>4945</v>
      </c>
      <c r="G54" s="10" t="n">
        <v>12071</v>
      </c>
      <c r="H54" s="10" t="n">
        <v>4025</v>
      </c>
      <c r="I54" s="10" t="n">
        <v>1920</v>
      </c>
      <c r="J54" s="10" t="n">
        <v>1390</v>
      </c>
      <c r="K54" s="10" t="n">
        <v>1830</v>
      </c>
      <c r="L54" s="10" t="n">
        <v>1859</v>
      </c>
    </row>
    <row r="55" customFormat="false" ht="15" hidden="false" customHeight="false" outlineLevel="0" collapsed="false">
      <c r="A55" s="9" t="s">
        <v>165</v>
      </c>
      <c r="B55" s="9" t="s">
        <v>166</v>
      </c>
      <c r="C55" s="10" t="n">
        <v>1390</v>
      </c>
      <c r="D55" s="10" t="n">
        <v>969</v>
      </c>
      <c r="E55" s="10" t="n">
        <v>1444</v>
      </c>
      <c r="F55" s="10" t="n">
        <v>1781</v>
      </c>
      <c r="G55" s="10" t="n">
        <v>1183</v>
      </c>
      <c r="H55" s="10" t="n">
        <v>1591</v>
      </c>
      <c r="I55" s="10" t="n">
        <v>2150</v>
      </c>
      <c r="J55" s="10" t="n">
        <v>1938</v>
      </c>
      <c r="K55" s="10" t="n">
        <v>2222</v>
      </c>
      <c r="L55" s="10" t="n">
        <v>1825</v>
      </c>
    </row>
    <row r="56" customFormat="false" ht="15" hidden="false" customHeight="false" outlineLevel="0" collapsed="false">
      <c r="A56" s="9" t="s">
        <v>167</v>
      </c>
      <c r="B56" s="9" t="s">
        <v>168</v>
      </c>
      <c r="C56" s="10" t="n">
        <v>1813</v>
      </c>
      <c r="D56" s="10" t="n">
        <v>1256</v>
      </c>
      <c r="E56" s="10" t="n">
        <v>1233</v>
      </c>
      <c r="F56" s="10" t="n">
        <v>931</v>
      </c>
      <c r="G56" s="10" t="n">
        <v>769</v>
      </c>
      <c r="H56" s="10" t="n">
        <v>1918</v>
      </c>
      <c r="I56" s="10" t="n">
        <v>1541</v>
      </c>
      <c r="J56" s="10" t="n">
        <v>1391</v>
      </c>
      <c r="K56" s="10" t="n">
        <v>1086</v>
      </c>
      <c r="L56" s="10" t="n">
        <v>1704</v>
      </c>
    </row>
    <row r="57" customFormat="false" ht="15" hidden="false" customHeight="false" outlineLevel="0" collapsed="false">
      <c r="A57" s="9" t="s">
        <v>169</v>
      </c>
      <c r="B57" s="9" t="s">
        <v>170</v>
      </c>
      <c r="C57" s="10" t="n">
        <v>92</v>
      </c>
      <c r="D57" s="10" t="n">
        <v>1028</v>
      </c>
      <c r="E57" s="10" t="n">
        <v>1416</v>
      </c>
      <c r="F57" s="10" t="n">
        <v>2477</v>
      </c>
      <c r="G57" s="10" t="n">
        <v>2710</v>
      </c>
      <c r="H57" s="10" t="n">
        <v>1756</v>
      </c>
      <c r="I57" s="10" t="n">
        <v>2297</v>
      </c>
      <c r="J57" s="10" t="n">
        <v>491</v>
      </c>
      <c r="K57" s="10" t="n">
        <v>859</v>
      </c>
      <c r="L57" s="10" t="n">
        <v>1256</v>
      </c>
    </row>
    <row r="58" customFormat="false" ht="15" hidden="false" customHeight="false" outlineLevel="0" collapsed="false">
      <c r="A58" s="9" t="s">
        <v>171</v>
      </c>
      <c r="B58" s="9" t="s">
        <v>172</v>
      </c>
      <c r="C58" s="10" t="n">
        <v>1720</v>
      </c>
      <c r="D58" s="10" t="n">
        <v>2712</v>
      </c>
      <c r="E58" s="10" t="n">
        <v>1633</v>
      </c>
      <c r="F58" s="10" t="n">
        <v>1760</v>
      </c>
      <c r="G58" s="10" t="n">
        <v>1065</v>
      </c>
      <c r="H58" s="10" t="n">
        <v>1086</v>
      </c>
      <c r="I58" s="10" t="n">
        <v>1117</v>
      </c>
      <c r="J58" s="10" t="n">
        <v>1285</v>
      </c>
      <c r="K58" s="10" t="n">
        <v>1171</v>
      </c>
      <c r="L58" s="10" t="n">
        <v>1240</v>
      </c>
    </row>
    <row r="59" customFormat="false" ht="15" hidden="false" customHeight="false" outlineLevel="0" collapsed="false">
      <c r="A59" s="9" t="s">
        <v>173</v>
      </c>
      <c r="B59" s="9" t="s">
        <v>174</v>
      </c>
      <c r="C59" s="10" t="n">
        <v>426</v>
      </c>
      <c r="D59" s="10" t="n">
        <v>24</v>
      </c>
      <c r="E59" s="10" t="n">
        <v>222</v>
      </c>
      <c r="F59" s="10" t="n">
        <v>57</v>
      </c>
      <c r="G59" s="10" t="n">
        <v>67</v>
      </c>
      <c r="H59" s="10" t="n">
        <v>97</v>
      </c>
      <c r="I59" s="10" t="n">
        <v>77</v>
      </c>
      <c r="J59" s="10" t="n">
        <v>51</v>
      </c>
      <c r="K59" s="10" t="n">
        <v>45</v>
      </c>
      <c r="L59" s="10" t="n">
        <v>1230</v>
      </c>
    </row>
    <row r="60" customFormat="false" ht="15" hidden="false" customHeight="false" outlineLevel="0" collapsed="false">
      <c r="A60" s="9" t="s">
        <v>175</v>
      </c>
      <c r="B60" s="9" t="s">
        <v>176</v>
      </c>
      <c r="C60" s="10" t="n">
        <v>1</v>
      </c>
      <c r="D60" s="10" t="n">
        <v>195</v>
      </c>
      <c r="E60" s="10" t="n">
        <v>928</v>
      </c>
      <c r="F60" s="10" t="n">
        <v>1108</v>
      </c>
      <c r="G60" s="10" t="n">
        <v>755</v>
      </c>
      <c r="H60" s="10" t="n">
        <v>1986</v>
      </c>
      <c r="I60" s="10" t="n">
        <v>2124</v>
      </c>
      <c r="J60" s="10" t="n">
        <v>1161</v>
      </c>
      <c r="K60" s="10" t="n">
        <v>996</v>
      </c>
      <c r="L60" s="10" t="n">
        <v>1185</v>
      </c>
    </row>
    <row r="61" customFormat="false" ht="15" hidden="false" customHeight="false" outlineLevel="0" collapsed="false">
      <c r="A61" s="9" t="s">
        <v>177</v>
      </c>
      <c r="B61" s="9" t="s">
        <v>178</v>
      </c>
      <c r="C61" s="10" t="n">
        <v>1981</v>
      </c>
      <c r="D61" s="10" t="n">
        <v>2237</v>
      </c>
      <c r="E61" s="10" t="n">
        <v>2398</v>
      </c>
      <c r="F61" s="10" t="n">
        <v>2207</v>
      </c>
      <c r="G61" s="10" t="n">
        <v>2059</v>
      </c>
      <c r="H61" s="10" t="n">
        <v>2402</v>
      </c>
      <c r="I61" s="10" t="n">
        <v>1912</v>
      </c>
      <c r="J61" s="10" t="n">
        <v>1737</v>
      </c>
      <c r="K61" s="10" t="n">
        <v>1256</v>
      </c>
      <c r="L61" s="10" t="n">
        <v>1102</v>
      </c>
    </row>
    <row r="62" customFormat="false" ht="15" hidden="false" customHeight="false" outlineLevel="0" collapsed="false">
      <c r="A62" s="9" t="s">
        <v>179</v>
      </c>
      <c r="B62" s="9" t="s">
        <v>180</v>
      </c>
      <c r="C62" s="10" t="n">
        <v>52</v>
      </c>
      <c r="D62" s="10" t="n">
        <v>202</v>
      </c>
      <c r="E62" s="10" t="n">
        <v>331</v>
      </c>
      <c r="F62" s="10" t="n">
        <v>264</v>
      </c>
      <c r="G62" s="10" t="n">
        <v>271</v>
      </c>
      <c r="H62" s="10" t="n">
        <v>238</v>
      </c>
      <c r="I62" s="10" t="n">
        <v>913</v>
      </c>
      <c r="J62" s="10" t="n">
        <v>872</v>
      </c>
      <c r="K62" s="10" t="n">
        <v>1067</v>
      </c>
      <c r="L62" s="10" t="n">
        <v>915</v>
      </c>
    </row>
    <row r="63" customFormat="false" ht="15" hidden="false" customHeight="false" outlineLevel="0" collapsed="false">
      <c r="A63" s="9" t="s">
        <v>181</v>
      </c>
      <c r="B63" s="9" t="s">
        <v>182</v>
      </c>
      <c r="C63" s="10" t="n">
        <v>164</v>
      </c>
      <c r="D63" s="10" t="n">
        <v>146</v>
      </c>
      <c r="E63" s="10" t="n">
        <v>176</v>
      </c>
      <c r="F63" s="10" t="n">
        <v>151</v>
      </c>
      <c r="G63" s="10" t="n">
        <v>163</v>
      </c>
      <c r="H63" s="10" t="n">
        <v>333</v>
      </c>
      <c r="I63" s="10" t="n">
        <v>339</v>
      </c>
      <c r="J63" s="10" t="n">
        <v>313</v>
      </c>
      <c r="K63" s="10" t="n">
        <v>432</v>
      </c>
      <c r="L63" s="10" t="n">
        <v>817</v>
      </c>
    </row>
    <row r="64" customFormat="false" ht="15" hidden="false" customHeight="false" outlineLevel="0" collapsed="false">
      <c r="A64" s="9" t="s">
        <v>183</v>
      </c>
      <c r="B64" s="9" t="s">
        <v>184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310</v>
      </c>
      <c r="K64" s="10" t="n">
        <v>498</v>
      </c>
      <c r="L64" s="10" t="n">
        <v>780</v>
      </c>
    </row>
    <row r="65" customFormat="false" ht="15" hidden="false" customHeight="false" outlineLevel="0" collapsed="false">
      <c r="A65" s="9" t="s">
        <v>185</v>
      </c>
      <c r="B65" s="9" t="s">
        <v>186</v>
      </c>
      <c r="C65" s="10" t="n">
        <v>0</v>
      </c>
      <c r="D65" s="10" t="n">
        <v>1</v>
      </c>
      <c r="E65" s="10" t="n">
        <v>41</v>
      </c>
      <c r="F65" s="10" t="n">
        <v>23</v>
      </c>
      <c r="G65" s="10" t="n">
        <v>59</v>
      </c>
      <c r="H65" s="10" t="n">
        <v>402</v>
      </c>
      <c r="I65" s="10" t="n">
        <v>737</v>
      </c>
      <c r="J65" s="10" t="n">
        <v>470</v>
      </c>
      <c r="K65" s="10" t="n">
        <v>368</v>
      </c>
      <c r="L65" s="10" t="n">
        <v>749</v>
      </c>
    </row>
    <row r="66" customFormat="false" ht="15" hidden="false" customHeight="false" outlineLevel="0" collapsed="false">
      <c r="A66" s="9" t="s">
        <v>187</v>
      </c>
      <c r="B66" s="9" t="s">
        <v>188</v>
      </c>
      <c r="C66" s="10" t="n">
        <v>1216</v>
      </c>
      <c r="D66" s="10" t="n">
        <v>1189</v>
      </c>
      <c r="E66" s="10" t="n">
        <v>1022</v>
      </c>
      <c r="F66" s="10" t="n">
        <v>666</v>
      </c>
      <c r="G66" s="10" t="n">
        <v>994</v>
      </c>
      <c r="H66" s="10" t="n">
        <v>497</v>
      </c>
      <c r="I66" s="10" t="n">
        <v>310</v>
      </c>
      <c r="J66" s="10" t="n">
        <v>391</v>
      </c>
      <c r="K66" s="10" t="n">
        <v>719</v>
      </c>
      <c r="L66" s="10" t="n">
        <v>731</v>
      </c>
    </row>
    <row r="67" customFormat="false" ht="15" hidden="false" customHeight="false" outlineLevel="0" collapsed="false">
      <c r="A67" s="9" t="s">
        <v>189</v>
      </c>
      <c r="B67" s="9" t="s">
        <v>190</v>
      </c>
      <c r="C67" s="10" t="n">
        <v>388</v>
      </c>
      <c r="D67" s="10" t="n">
        <v>251</v>
      </c>
      <c r="E67" s="10" t="n">
        <v>238</v>
      </c>
      <c r="F67" s="10" t="n">
        <v>233</v>
      </c>
      <c r="G67" s="10" t="n">
        <v>327</v>
      </c>
      <c r="H67" s="10" t="n">
        <v>501</v>
      </c>
      <c r="I67" s="10" t="n">
        <v>374</v>
      </c>
      <c r="J67" s="10" t="n">
        <v>396</v>
      </c>
      <c r="K67" s="10" t="n">
        <v>524</v>
      </c>
      <c r="L67" s="10" t="n">
        <v>716</v>
      </c>
    </row>
    <row r="68" customFormat="false" ht="15" hidden="false" customHeight="false" outlineLevel="0" collapsed="false">
      <c r="A68" s="9" t="s">
        <v>191</v>
      </c>
      <c r="B68" s="9" t="s">
        <v>192</v>
      </c>
      <c r="C68" s="10" t="n">
        <v>245</v>
      </c>
      <c r="D68" s="10" t="n">
        <v>43</v>
      </c>
      <c r="E68" s="10" t="n">
        <v>6</v>
      </c>
      <c r="F68" s="10" t="n">
        <v>272</v>
      </c>
      <c r="G68" s="10" t="n">
        <v>148</v>
      </c>
      <c r="H68" s="10" t="n">
        <v>274</v>
      </c>
      <c r="I68" s="10" t="n">
        <v>85</v>
      </c>
      <c r="J68" s="10" t="n">
        <v>99</v>
      </c>
      <c r="K68" s="10" t="n">
        <v>125</v>
      </c>
      <c r="L68" s="10" t="n">
        <v>642</v>
      </c>
    </row>
    <row r="69" customFormat="false" ht="15" hidden="false" customHeight="false" outlineLevel="0" collapsed="false">
      <c r="A69" s="9" t="s">
        <v>193</v>
      </c>
      <c r="B69" s="9" t="s">
        <v>194</v>
      </c>
      <c r="C69" s="10" t="n">
        <v>73</v>
      </c>
      <c r="D69" s="10" t="n">
        <v>329</v>
      </c>
      <c r="E69" s="10" t="n">
        <v>581</v>
      </c>
      <c r="F69" s="10" t="n">
        <v>470</v>
      </c>
      <c r="G69" s="10" t="n">
        <v>648</v>
      </c>
      <c r="H69" s="10" t="n">
        <v>846</v>
      </c>
      <c r="I69" s="10" t="n">
        <v>575</v>
      </c>
      <c r="J69" s="10" t="n">
        <v>401</v>
      </c>
      <c r="K69" s="10" t="n">
        <v>411</v>
      </c>
      <c r="L69" s="10" t="n">
        <v>528</v>
      </c>
    </row>
    <row r="70" customFormat="false" ht="15" hidden="false" customHeight="false" outlineLevel="0" collapsed="false">
      <c r="A70" s="9" t="s">
        <v>195</v>
      </c>
      <c r="B70" s="9" t="s">
        <v>196</v>
      </c>
      <c r="C70" s="10" t="n">
        <v>207</v>
      </c>
      <c r="D70" s="10" t="n">
        <v>723</v>
      </c>
      <c r="E70" s="10" t="n">
        <v>698</v>
      </c>
      <c r="F70" s="10" t="n">
        <v>1023</v>
      </c>
      <c r="G70" s="10" t="n">
        <v>689</v>
      </c>
      <c r="H70" s="10" t="n">
        <v>985</v>
      </c>
      <c r="I70" s="10" t="n">
        <v>511</v>
      </c>
      <c r="J70" s="10" t="n">
        <v>291</v>
      </c>
      <c r="K70" s="10" t="n">
        <v>391</v>
      </c>
      <c r="L70" s="10" t="n">
        <v>438</v>
      </c>
    </row>
    <row r="71" customFormat="false" ht="15" hidden="false" customHeight="false" outlineLevel="0" collapsed="false">
      <c r="A71" s="9" t="s">
        <v>197</v>
      </c>
      <c r="B71" s="9" t="s">
        <v>198</v>
      </c>
      <c r="C71" s="10" t="n">
        <v>263</v>
      </c>
      <c r="D71" s="10" t="n">
        <v>318</v>
      </c>
      <c r="E71" s="10" t="n">
        <v>426</v>
      </c>
      <c r="F71" s="10" t="n">
        <v>372</v>
      </c>
      <c r="G71" s="10" t="n">
        <v>353</v>
      </c>
      <c r="H71" s="10" t="n">
        <v>523</v>
      </c>
      <c r="I71" s="10" t="n">
        <v>516</v>
      </c>
      <c r="J71" s="10" t="n">
        <v>531</v>
      </c>
      <c r="K71" s="10" t="n">
        <v>611</v>
      </c>
      <c r="L71" s="10" t="n">
        <v>427</v>
      </c>
    </row>
    <row r="72" customFormat="false" ht="15" hidden="false" customHeight="false" outlineLevel="0" collapsed="false">
      <c r="A72" s="9" t="s">
        <v>199</v>
      </c>
      <c r="B72" s="9" t="s">
        <v>200</v>
      </c>
      <c r="C72" s="10" t="n">
        <v>710</v>
      </c>
      <c r="D72" s="10" t="n">
        <v>498</v>
      </c>
      <c r="E72" s="10" t="n">
        <v>826</v>
      </c>
      <c r="F72" s="10" t="n">
        <v>441</v>
      </c>
      <c r="G72" s="10" t="n">
        <v>421</v>
      </c>
      <c r="H72" s="10" t="n">
        <v>417</v>
      </c>
      <c r="I72" s="10" t="n">
        <v>408</v>
      </c>
      <c r="J72" s="10" t="n">
        <v>351</v>
      </c>
      <c r="K72" s="10" t="n">
        <v>331</v>
      </c>
      <c r="L72" s="10" t="n">
        <v>357</v>
      </c>
    </row>
    <row r="73" customFormat="false" ht="15" hidden="false" customHeight="false" outlineLevel="0" collapsed="false">
      <c r="A73" s="9" t="s">
        <v>201</v>
      </c>
      <c r="B73" s="9" t="s">
        <v>202</v>
      </c>
      <c r="C73" s="10" t="n">
        <v>3417</v>
      </c>
      <c r="D73" s="10" t="n">
        <v>3578</v>
      </c>
      <c r="E73" s="10" t="n">
        <v>3809</v>
      </c>
      <c r="F73" s="10" t="n">
        <v>3842</v>
      </c>
      <c r="G73" s="10" t="n">
        <v>439</v>
      </c>
      <c r="H73" s="10" t="n">
        <v>3385</v>
      </c>
      <c r="I73" s="10" t="n">
        <v>4134</v>
      </c>
      <c r="J73" s="10" t="n">
        <v>2911</v>
      </c>
      <c r="K73" s="10" t="n">
        <v>842</v>
      </c>
      <c r="L73" s="10" t="n">
        <v>324</v>
      </c>
    </row>
    <row r="74" customFormat="false" ht="15" hidden="false" customHeight="false" outlineLevel="0" collapsed="false">
      <c r="A74" s="9" t="s">
        <v>203</v>
      </c>
      <c r="B74" s="9" t="s">
        <v>204</v>
      </c>
      <c r="C74" s="10" t="n">
        <v>285</v>
      </c>
      <c r="D74" s="10" t="n">
        <v>235</v>
      </c>
      <c r="E74" s="10" t="n">
        <v>474</v>
      </c>
      <c r="F74" s="10" t="n">
        <v>481</v>
      </c>
      <c r="G74" s="10" t="n">
        <v>442</v>
      </c>
      <c r="H74" s="10" t="n">
        <v>442</v>
      </c>
      <c r="I74" s="10" t="n">
        <v>387</v>
      </c>
      <c r="J74" s="10" t="n">
        <v>294</v>
      </c>
      <c r="K74" s="10" t="n">
        <v>304</v>
      </c>
      <c r="L74" s="10" t="n">
        <v>322</v>
      </c>
    </row>
    <row r="75" customFormat="false" ht="15" hidden="false" customHeight="false" outlineLevel="0" collapsed="false">
      <c r="A75" s="9" t="s">
        <v>205</v>
      </c>
      <c r="B75" s="9" t="s">
        <v>206</v>
      </c>
      <c r="C75" s="10" t="n">
        <v>674</v>
      </c>
      <c r="D75" s="10" t="n">
        <v>444</v>
      </c>
      <c r="E75" s="10" t="n">
        <v>215</v>
      </c>
      <c r="F75" s="10" t="n">
        <v>655</v>
      </c>
      <c r="G75" s="10" t="n">
        <v>511</v>
      </c>
      <c r="H75" s="10" t="n">
        <v>243</v>
      </c>
      <c r="I75" s="10" t="n">
        <v>793</v>
      </c>
      <c r="J75" s="10" t="n">
        <v>488</v>
      </c>
      <c r="K75" s="10" t="n">
        <v>430</v>
      </c>
      <c r="L75" s="10" t="n">
        <v>288</v>
      </c>
    </row>
    <row r="76" customFormat="false" ht="15" hidden="false" customHeight="false" outlineLevel="0" collapsed="false">
      <c r="A76" s="9" t="s">
        <v>207</v>
      </c>
      <c r="B76" s="9" t="s">
        <v>208</v>
      </c>
      <c r="C76" s="10" t="n">
        <v>151</v>
      </c>
      <c r="D76" s="10" t="n">
        <v>162</v>
      </c>
      <c r="E76" s="10" t="n">
        <v>225</v>
      </c>
      <c r="F76" s="10" t="n">
        <v>233</v>
      </c>
      <c r="G76" s="10" t="n">
        <v>204</v>
      </c>
      <c r="H76" s="10" t="n">
        <v>254</v>
      </c>
      <c r="I76" s="10" t="n">
        <v>241</v>
      </c>
      <c r="J76" s="10" t="n">
        <v>258</v>
      </c>
      <c r="K76" s="10" t="n">
        <v>245</v>
      </c>
      <c r="L76" s="10" t="n">
        <v>250</v>
      </c>
    </row>
    <row r="77" customFormat="false" ht="15" hidden="false" customHeight="false" outlineLevel="0" collapsed="false">
      <c r="A77" s="9" t="s">
        <v>209</v>
      </c>
      <c r="B77" s="9" t="s">
        <v>210</v>
      </c>
      <c r="C77" s="10" t="n">
        <v>223</v>
      </c>
      <c r="D77" s="10" t="n">
        <v>250</v>
      </c>
      <c r="E77" s="10" t="n">
        <v>136</v>
      </c>
      <c r="F77" s="10" t="n">
        <v>140</v>
      </c>
      <c r="G77" s="10" t="n">
        <v>28</v>
      </c>
      <c r="H77" s="10" t="n">
        <v>132</v>
      </c>
      <c r="I77" s="10" t="n">
        <v>145</v>
      </c>
      <c r="J77" s="10" t="n">
        <v>430</v>
      </c>
      <c r="K77" s="10" t="n">
        <v>209</v>
      </c>
      <c r="L77" s="10" t="n">
        <v>245</v>
      </c>
    </row>
    <row r="78" customFormat="false" ht="15" hidden="false" customHeight="false" outlineLevel="0" collapsed="false">
      <c r="A78" s="9" t="s">
        <v>211</v>
      </c>
      <c r="B78" s="9" t="s">
        <v>212</v>
      </c>
      <c r="C78" s="10" t="n">
        <v>121</v>
      </c>
      <c r="D78" s="10" t="n">
        <v>83</v>
      </c>
      <c r="E78" s="10" t="n">
        <v>121</v>
      </c>
      <c r="F78" s="10" t="n">
        <v>252</v>
      </c>
      <c r="G78" s="10" t="n">
        <v>207</v>
      </c>
      <c r="H78" s="10" t="n">
        <v>407</v>
      </c>
      <c r="I78" s="10" t="n">
        <v>299</v>
      </c>
      <c r="J78" s="10" t="n">
        <v>208</v>
      </c>
      <c r="K78" s="10" t="n">
        <v>190</v>
      </c>
      <c r="L78" s="10" t="n">
        <v>200</v>
      </c>
    </row>
    <row r="79" customFormat="false" ht="15" hidden="false" customHeight="false" outlineLevel="0" collapsed="false">
      <c r="A79" s="9" t="s">
        <v>213</v>
      </c>
      <c r="B79" s="9" t="s">
        <v>214</v>
      </c>
      <c r="C79" s="10" t="n">
        <v>32</v>
      </c>
      <c r="D79" s="10" t="n">
        <v>49</v>
      </c>
      <c r="E79" s="10" t="n">
        <v>2035</v>
      </c>
      <c r="F79" s="10" t="n">
        <v>4213</v>
      </c>
      <c r="G79" s="10" t="n">
        <v>125</v>
      </c>
      <c r="H79" s="10" t="n">
        <v>81</v>
      </c>
      <c r="I79" s="10" t="n">
        <v>2231</v>
      </c>
      <c r="J79" s="10" t="n">
        <v>2639</v>
      </c>
      <c r="K79" s="10" t="n">
        <v>406</v>
      </c>
      <c r="L79" s="10" t="n">
        <v>200</v>
      </c>
    </row>
    <row r="80" customFormat="false" ht="15" hidden="false" customHeight="false" outlineLevel="0" collapsed="false">
      <c r="A80" s="9" t="s">
        <v>215</v>
      </c>
      <c r="B80" s="9" t="s">
        <v>216</v>
      </c>
      <c r="C80" s="10" t="n">
        <v>483</v>
      </c>
      <c r="D80" s="10" t="n">
        <v>498</v>
      </c>
      <c r="E80" s="10" t="n">
        <v>1029</v>
      </c>
      <c r="F80" s="10" t="n">
        <v>489</v>
      </c>
      <c r="G80" s="10" t="n">
        <v>586</v>
      </c>
      <c r="H80" s="10" t="n">
        <v>746</v>
      </c>
      <c r="I80" s="10" t="n">
        <v>344</v>
      </c>
      <c r="J80" s="10" t="n">
        <v>127</v>
      </c>
      <c r="K80" s="10" t="n">
        <v>110</v>
      </c>
      <c r="L80" s="10" t="n">
        <v>197</v>
      </c>
    </row>
    <row r="81" customFormat="false" ht="15" hidden="false" customHeight="false" outlineLevel="0" collapsed="false">
      <c r="A81" s="9" t="s">
        <v>217</v>
      </c>
      <c r="B81" s="9" t="s">
        <v>218</v>
      </c>
      <c r="C81" s="10" t="n">
        <v>63</v>
      </c>
      <c r="D81" s="10" t="n">
        <v>57</v>
      </c>
      <c r="E81" s="10" t="n">
        <v>70</v>
      </c>
      <c r="F81" s="10" t="n">
        <v>94</v>
      </c>
      <c r="G81" s="10" t="n">
        <v>208</v>
      </c>
      <c r="H81" s="10" t="n">
        <v>197</v>
      </c>
      <c r="I81" s="10" t="n">
        <v>313</v>
      </c>
      <c r="J81" s="10" t="n">
        <v>154</v>
      </c>
      <c r="K81" s="10" t="n">
        <v>230</v>
      </c>
      <c r="L81" s="10" t="n">
        <v>190</v>
      </c>
    </row>
    <row r="82" customFormat="false" ht="15" hidden="false" customHeight="false" outlineLevel="0" collapsed="false">
      <c r="A82" s="9" t="s">
        <v>219</v>
      </c>
      <c r="B82" s="9" t="s">
        <v>220</v>
      </c>
      <c r="C82" s="10" t="n">
        <v>3</v>
      </c>
      <c r="D82" s="10" t="n">
        <v>67</v>
      </c>
      <c r="E82" s="10" t="n">
        <v>178</v>
      </c>
      <c r="F82" s="10" t="n">
        <v>262</v>
      </c>
      <c r="G82" s="10" t="n">
        <v>283</v>
      </c>
      <c r="H82" s="10" t="n">
        <v>525</v>
      </c>
      <c r="I82" s="10" t="n">
        <v>259</v>
      </c>
      <c r="J82" s="10" t="n">
        <v>156</v>
      </c>
      <c r="K82" s="10" t="n">
        <v>94</v>
      </c>
      <c r="L82" s="10" t="n">
        <v>188</v>
      </c>
    </row>
    <row r="83" customFormat="false" ht="15" hidden="false" customHeight="false" outlineLevel="0" collapsed="false">
      <c r="A83" s="9" t="s">
        <v>221</v>
      </c>
      <c r="B83" s="9" t="s">
        <v>222</v>
      </c>
      <c r="C83" s="10" t="n">
        <v>35</v>
      </c>
      <c r="D83" s="10" t="n">
        <v>33</v>
      </c>
      <c r="E83" s="10" t="n">
        <v>80</v>
      </c>
      <c r="F83" s="10" t="n">
        <v>33</v>
      </c>
      <c r="G83" s="10" t="n">
        <v>46</v>
      </c>
      <c r="H83" s="10" t="n">
        <v>140</v>
      </c>
      <c r="I83" s="10" t="n">
        <v>20</v>
      </c>
      <c r="J83" s="10" t="n">
        <v>120</v>
      </c>
      <c r="K83" s="10" t="n">
        <v>103</v>
      </c>
      <c r="L83" s="10" t="n">
        <v>177</v>
      </c>
    </row>
    <row r="84" customFormat="false" ht="15" hidden="false" customHeight="false" outlineLevel="0" collapsed="false">
      <c r="A84" s="9" t="s">
        <v>223</v>
      </c>
      <c r="B84" s="9" t="s">
        <v>224</v>
      </c>
      <c r="C84" s="10" t="n">
        <v>17</v>
      </c>
      <c r="D84" s="10" t="n">
        <v>7</v>
      </c>
      <c r="E84" s="10" t="n">
        <v>11</v>
      </c>
      <c r="F84" s="10" t="n">
        <v>38</v>
      </c>
      <c r="G84" s="10" t="n">
        <v>26</v>
      </c>
      <c r="H84" s="10" t="n">
        <v>290</v>
      </c>
      <c r="I84" s="10" t="n">
        <v>77</v>
      </c>
      <c r="J84" s="10" t="n">
        <v>53</v>
      </c>
      <c r="K84" s="10" t="n">
        <v>91</v>
      </c>
      <c r="L84" s="10" t="n">
        <v>139</v>
      </c>
    </row>
    <row r="85" customFormat="false" ht="15" hidden="false" customHeight="false" outlineLevel="0" collapsed="false">
      <c r="A85" s="9" t="s">
        <v>225</v>
      </c>
      <c r="B85" s="9" t="s">
        <v>226</v>
      </c>
      <c r="C85" s="10" t="n">
        <v>75</v>
      </c>
      <c r="D85" s="10" t="n">
        <v>95</v>
      </c>
      <c r="E85" s="10" t="n">
        <v>185</v>
      </c>
      <c r="F85" s="10" t="n">
        <v>190</v>
      </c>
      <c r="G85" s="10" t="n">
        <v>177</v>
      </c>
      <c r="H85" s="10" t="n">
        <v>504</v>
      </c>
      <c r="I85" s="10" t="n">
        <v>532</v>
      </c>
      <c r="J85" s="10" t="n">
        <v>140</v>
      </c>
      <c r="K85" s="10" t="n">
        <v>141</v>
      </c>
      <c r="L85" s="10" t="n">
        <v>122</v>
      </c>
    </row>
    <row r="86" customFormat="false" ht="15" hidden="false" customHeight="false" outlineLevel="0" collapsed="false">
      <c r="A86" s="9" t="s">
        <v>227</v>
      </c>
      <c r="B86" s="9" t="s">
        <v>228</v>
      </c>
      <c r="C86" s="10" t="n">
        <v>24</v>
      </c>
      <c r="D86" s="10" t="n">
        <v>15</v>
      </c>
      <c r="E86" s="10" t="n">
        <v>37</v>
      </c>
      <c r="F86" s="10" t="n">
        <v>11</v>
      </c>
      <c r="G86" s="10" t="n">
        <v>17</v>
      </c>
      <c r="H86" s="10" t="n">
        <v>30</v>
      </c>
      <c r="I86" s="10" t="n">
        <v>234</v>
      </c>
      <c r="J86" s="10" t="n">
        <v>45</v>
      </c>
      <c r="K86" s="10" t="n">
        <v>143</v>
      </c>
      <c r="L86" s="10" t="n">
        <v>111</v>
      </c>
    </row>
    <row r="87" customFormat="false" ht="15" hidden="false" customHeight="false" outlineLevel="0" collapsed="false">
      <c r="A87" s="9" t="s">
        <v>229</v>
      </c>
      <c r="B87" s="9" t="s">
        <v>230</v>
      </c>
      <c r="C87" s="10" t="n">
        <v>126</v>
      </c>
      <c r="D87" s="10" t="n">
        <v>175</v>
      </c>
      <c r="E87" s="10" t="n">
        <v>143</v>
      </c>
      <c r="F87" s="10" t="n">
        <v>104</v>
      </c>
      <c r="G87" s="10" t="n">
        <v>89</v>
      </c>
      <c r="H87" s="10" t="n">
        <v>56</v>
      </c>
      <c r="I87" s="10" t="n">
        <v>97</v>
      </c>
      <c r="J87" s="10" t="n">
        <v>89</v>
      </c>
      <c r="K87" s="10" t="n">
        <v>118</v>
      </c>
      <c r="L87" s="10" t="n">
        <v>88</v>
      </c>
    </row>
    <row r="88" customFormat="false" ht="15" hidden="false" customHeight="false" outlineLevel="0" collapsed="false">
      <c r="A88" s="9" t="s">
        <v>231</v>
      </c>
      <c r="B88" s="9" t="s">
        <v>232</v>
      </c>
      <c r="C88" s="10" t="n">
        <v>17</v>
      </c>
      <c r="D88" s="10" t="n">
        <v>74</v>
      </c>
      <c r="E88" s="10" t="n">
        <v>143</v>
      </c>
      <c r="F88" s="10" t="n">
        <v>78</v>
      </c>
      <c r="G88" s="10" t="n">
        <v>20</v>
      </c>
      <c r="H88" s="10" t="n">
        <v>25</v>
      </c>
      <c r="I88" s="10" t="n">
        <v>15</v>
      </c>
      <c r="J88" s="10" t="n">
        <v>11</v>
      </c>
      <c r="K88" s="10" t="n">
        <v>82</v>
      </c>
      <c r="L88" s="10" t="n">
        <v>64</v>
      </c>
    </row>
    <row r="89" customFormat="false" ht="15" hidden="false" customHeight="false" outlineLevel="0" collapsed="false">
      <c r="A89" s="9" t="s">
        <v>233</v>
      </c>
      <c r="B89" s="9" t="s">
        <v>234</v>
      </c>
      <c r="C89" s="10" t="n">
        <v>2113</v>
      </c>
      <c r="D89" s="10" t="n">
        <v>3324</v>
      </c>
      <c r="E89" s="10" t="n">
        <v>1521</v>
      </c>
      <c r="F89" s="10" t="n">
        <v>1579</v>
      </c>
      <c r="G89" s="10" t="n">
        <v>1169</v>
      </c>
      <c r="H89" s="10" t="n">
        <v>1440</v>
      </c>
      <c r="I89" s="10" t="n">
        <v>769</v>
      </c>
      <c r="J89" s="10" t="n">
        <v>14</v>
      </c>
      <c r="K89" s="10" t="n">
        <v>31</v>
      </c>
      <c r="L89" s="10" t="n">
        <v>63</v>
      </c>
    </row>
    <row r="90" customFormat="false" ht="15" hidden="false" customHeight="false" outlineLevel="0" collapsed="false">
      <c r="A90" s="9" t="s">
        <v>235</v>
      </c>
      <c r="B90" s="9" t="s">
        <v>236</v>
      </c>
      <c r="C90" s="10" t="n">
        <v>29</v>
      </c>
      <c r="D90" s="10" t="n">
        <v>0</v>
      </c>
      <c r="E90" s="10" t="n">
        <v>63</v>
      </c>
      <c r="F90" s="10" t="n">
        <v>21</v>
      </c>
      <c r="G90" s="10" t="n">
        <v>0</v>
      </c>
      <c r="H90" s="10" t="n">
        <v>0</v>
      </c>
      <c r="I90" s="10" t="n">
        <v>0</v>
      </c>
      <c r="J90" s="10" t="n">
        <v>4</v>
      </c>
      <c r="K90" s="10" t="n">
        <v>0</v>
      </c>
      <c r="L90" s="10" t="n">
        <v>58</v>
      </c>
    </row>
    <row r="91" customFormat="false" ht="15" hidden="false" customHeight="false" outlineLevel="0" collapsed="false">
      <c r="A91" s="9" t="s">
        <v>237</v>
      </c>
      <c r="B91" s="9" t="s">
        <v>238</v>
      </c>
      <c r="C91" s="10" t="n">
        <v>38</v>
      </c>
      <c r="D91" s="10" t="n">
        <v>0</v>
      </c>
      <c r="E91" s="10" t="n">
        <v>35</v>
      </c>
      <c r="F91" s="10" t="n">
        <v>24</v>
      </c>
      <c r="G91" s="10" t="n">
        <v>11</v>
      </c>
      <c r="H91" s="10" t="n">
        <v>34</v>
      </c>
      <c r="I91" s="10" t="n">
        <v>30</v>
      </c>
      <c r="J91" s="10" t="n">
        <v>58</v>
      </c>
      <c r="K91" s="10" t="n">
        <v>58</v>
      </c>
      <c r="L91" s="10" t="n">
        <v>52</v>
      </c>
    </row>
    <row r="92" customFormat="false" ht="15" hidden="false" customHeight="false" outlineLevel="0" collapsed="false">
      <c r="A92" s="9" t="s">
        <v>239</v>
      </c>
      <c r="B92" s="9" t="s">
        <v>240</v>
      </c>
      <c r="C92" s="10" t="n">
        <v>3</v>
      </c>
      <c r="D92" s="10" t="n">
        <v>0</v>
      </c>
      <c r="E92" s="10" t="n">
        <v>7</v>
      </c>
      <c r="F92" s="10" t="n">
        <v>2</v>
      </c>
      <c r="G92" s="10" t="n">
        <v>913</v>
      </c>
      <c r="H92" s="10" t="n">
        <v>1139</v>
      </c>
      <c r="I92" s="10" t="n">
        <v>1289</v>
      </c>
      <c r="J92" s="10" t="n">
        <v>846</v>
      </c>
      <c r="K92" s="10" t="n">
        <v>13</v>
      </c>
      <c r="L92" s="10" t="n">
        <v>48</v>
      </c>
    </row>
    <row r="93" customFormat="false" ht="15" hidden="false" customHeight="false" outlineLevel="0" collapsed="false">
      <c r="A93" s="9" t="s">
        <v>241</v>
      </c>
      <c r="B93" s="9" t="s">
        <v>242</v>
      </c>
      <c r="C93" s="10" t="n">
        <v>1</v>
      </c>
      <c r="D93" s="10" t="n">
        <v>1</v>
      </c>
      <c r="E93" s="10" t="n">
        <v>3</v>
      </c>
      <c r="F93" s="10" t="n">
        <v>1</v>
      </c>
      <c r="G93" s="10" t="n">
        <v>1</v>
      </c>
      <c r="H93" s="10" t="n">
        <v>2</v>
      </c>
      <c r="I93" s="10" t="n">
        <v>5</v>
      </c>
      <c r="J93" s="10" t="n">
        <v>25</v>
      </c>
      <c r="K93" s="10" t="n">
        <v>0</v>
      </c>
      <c r="L93" s="10" t="n">
        <v>22</v>
      </c>
    </row>
    <row r="94" customFormat="false" ht="15" hidden="false" customHeight="false" outlineLevel="0" collapsed="false">
      <c r="A94" s="9" t="s">
        <v>243</v>
      </c>
      <c r="B94" s="9" t="s">
        <v>244</v>
      </c>
      <c r="C94" s="10" t="n">
        <v>72</v>
      </c>
      <c r="D94" s="10" t="n">
        <v>21</v>
      </c>
      <c r="E94" s="10" t="n">
        <v>72</v>
      </c>
      <c r="F94" s="10" t="n">
        <v>56</v>
      </c>
      <c r="G94" s="10" t="n">
        <v>12</v>
      </c>
      <c r="H94" s="10" t="n">
        <v>17</v>
      </c>
      <c r="I94" s="10" t="n">
        <v>32</v>
      </c>
      <c r="J94" s="10" t="n">
        <v>7</v>
      </c>
      <c r="K94" s="10" t="n">
        <v>7</v>
      </c>
      <c r="L94" s="10" t="n">
        <v>19</v>
      </c>
    </row>
    <row r="95" customFormat="false" ht="15" hidden="false" customHeight="false" outlineLevel="0" collapsed="false">
      <c r="A95" s="9" t="s">
        <v>245</v>
      </c>
      <c r="B95" s="9" t="s">
        <v>246</v>
      </c>
      <c r="C95" s="10" t="n">
        <v>502</v>
      </c>
      <c r="D95" s="10" t="n">
        <v>880</v>
      </c>
      <c r="E95" s="10" t="n">
        <v>131</v>
      </c>
      <c r="F95" s="10" t="n">
        <v>740</v>
      </c>
      <c r="G95" s="10" t="n">
        <v>4</v>
      </c>
      <c r="H95" s="10" t="n">
        <v>26</v>
      </c>
      <c r="I95" s="10" t="n">
        <v>417</v>
      </c>
      <c r="J95" s="10" t="n">
        <v>805</v>
      </c>
      <c r="K95" s="10" t="n">
        <v>245</v>
      </c>
      <c r="L95" s="10" t="n">
        <v>16</v>
      </c>
    </row>
    <row r="96" customFormat="false" ht="15" hidden="false" customHeight="false" outlineLevel="0" collapsed="false">
      <c r="A96" s="9" t="s">
        <v>247</v>
      </c>
      <c r="B96" s="9" t="s">
        <v>248</v>
      </c>
      <c r="C96" s="10" t="n">
        <v>158</v>
      </c>
      <c r="D96" s="10" t="n">
        <v>100</v>
      </c>
      <c r="E96" s="10" t="n">
        <v>123</v>
      </c>
      <c r="F96" s="10" t="n">
        <v>53</v>
      </c>
      <c r="G96" s="10" t="n">
        <v>47</v>
      </c>
      <c r="H96" s="10" t="n">
        <v>45</v>
      </c>
      <c r="I96" s="10" t="n">
        <v>11</v>
      </c>
      <c r="J96" s="10" t="n">
        <v>0</v>
      </c>
      <c r="K96" s="10" t="n">
        <v>14</v>
      </c>
      <c r="L96" s="10" t="n">
        <v>15</v>
      </c>
    </row>
    <row r="97" customFormat="false" ht="15" hidden="false" customHeight="false" outlineLevel="0" collapsed="false">
      <c r="A97" s="9" t="s">
        <v>249</v>
      </c>
      <c r="B97" s="9" t="s">
        <v>250</v>
      </c>
      <c r="C97" s="10" t="n">
        <v>2</v>
      </c>
      <c r="D97" s="10" t="n">
        <v>4</v>
      </c>
      <c r="E97" s="10" t="n">
        <v>6</v>
      </c>
      <c r="F97" s="10" t="n">
        <v>4</v>
      </c>
      <c r="G97" s="10" t="n">
        <v>2</v>
      </c>
      <c r="H97" s="10" t="n">
        <v>10</v>
      </c>
      <c r="I97" s="10" t="n">
        <v>16</v>
      </c>
      <c r="J97" s="10" t="n">
        <v>20</v>
      </c>
      <c r="K97" s="10" t="n">
        <v>24</v>
      </c>
      <c r="L97" s="10" t="n">
        <v>15</v>
      </c>
    </row>
    <row r="98" customFormat="false" ht="15" hidden="false" customHeight="false" outlineLevel="0" collapsed="false">
      <c r="A98" s="9" t="s">
        <v>251</v>
      </c>
      <c r="B98" s="9" t="s">
        <v>252</v>
      </c>
      <c r="C98" s="10" t="n">
        <v>0</v>
      </c>
      <c r="D98" s="10" t="n">
        <v>0</v>
      </c>
      <c r="E98" s="10" t="n">
        <v>0</v>
      </c>
      <c r="F98" s="10" t="n">
        <v>78</v>
      </c>
      <c r="G98" s="10" t="n">
        <v>0</v>
      </c>
      <c r="H98" s="10" t="n">
        <v>0</v>
      </c>
      <c r="I98" s="10" t="n">
        <v>0</v>
      </c>
      <c r="J98" s="10" t="n">
        <v>16</v>
      </c>
      <c r="K98" s="10" t="n">
        <v>0</v>
      </c>
      <c r="L98" s="10" t="n">
        <v>15</v>
      </c>
    </row>
    <row r="99" customFormat="false" ht="15" hidden="false" customHeight="false" outlineLevel="0" collapsed="false">
      <c r="A99" s="9" t="s">
        <v>253</v>
      </c>
      <c r="B99" s="9" t="s">
        <v>254</v>
      </c>
      <c r="C99" s="10" t="n">
        <v>11</v>
      </c>
      <c r="D99" s="10" t="n">
        <v>40</v>
      </c>
      <c r="E99" s="10" t="n">
        <v>6</v>
      </c>
      <c r="F99" s="10" t="n">
        <v>3</v>
      </c>
      <c r="G99" s="10" t="n">
        <v>2</v>
      </c>
      <c r="H99" s="10" t="n">
        <v>6</v>
      </c>
      <c r="I99" s="10" t="n">
        <v>37</v>
      </c>
      <c r="J99" s="10" t="n">
        <v>37</v>
      </c>
      <c r="K99" s="10" t="n">
        <v>6</v>
      </c>
      <c r="L99" s="10" t="n">
        <v>11</v>
      </c>
    </row>
    <row r="100" customFormat="false" ht="15" hidden="false" customHeight="false" outlineLevel="0" collapsed="false">
      <c r="A100" s="9" t="s">
        <v>255</v>
      </c>
      <c r="B100" s="9" t="s">
        <v>256</v>
      </c>
      <c r="C100" s="10" t="n">
        <v>10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8</v>
      </c>
    </row>
    <row r="101" customFormat="false" ht="15" hidden="false" customHeight="false" outlineLevel="0" collapsed="false">
      <c r="A101" s="9" t="s">
        <v>257</v>
      </c>
      <c r="B101" s="9" t="s">
        <v>258</v>
      </c>
      <c r="C101" s="10" t="n">
        <v>3</v>
      </c>
      <c r="D101" s="10" t="n">
        <v>6</v>
      </c>
      <c r="E101" s="10" t="n">
        <v>47</v>
      </c>
      <c r="F101" s="10" t="n">
        <v>11</v>
      </c>
      <c r="G101" s="10" t="n">
        <v>70</v>
      </c>
      <c r="H101" s="10" t="n">
        <v>263</v>
      </c>
      <c r="I101" s="10" t="n">
        <v>108</v>
      </c>
      <c r="J101" s="10" t="n">
        <v>30</v>
      </c>
      <c r="K101" s="10" t="n">
        <v>15</v>
      </c>
      <c r="L101" s="10" t="n">
        <v>8</v>
      </c>
    </row>
    <row r="102" customFormat="false" ht="15" hidden="false" customHeight="false" outlineLevel="0" collapsed="false">
      <c r="A102" s="9" t="s">
        <v>259</v>
      </c>
      <c r="B102" s="9" t="s">
        <v>260</v>
      </c>
      <c r="C102" s="10" t="n">
        <v>1</v>
      </c>
      <c r="D102" s="10" t="n">
        <v>0</v>
      </c>
      <c r="E102" s="10" t="n">
        <v>1</v>
      </c>
      <c r="F102" s="10" t="n">
        <v>0</v>
      </c>
      <c r="G102" s="10" t="n">
        <v>0</v>
      </c>
      <c r="H102" s="10" t="n">
        <v>3</v>
      </c>
      <c r="I102" s="10" t="n">
        <v>3</v>
      </c>
      <c r="J102" s="10" t="n">
        <v>3</v>
      </c>
      <c r="K102" s="10" t="n">
        <v>3</v>
      </c>
      <c r="L102" s="10" t="n">
        <v>6</v>
      </c>
    </row>
    <row r="103" customFormat="false" ht="15" hidden="false" customHeight="false" outlineLevel="0" collapsed="false">
      <c r="A103" s="9" t="s">
        <v>261</v>
      </c>
      <c r="B103" s="9" t="s">
        <v>262</v>
      </c>
      <c r="C103" s="10" t="n">
        <v>1</v>
      </c>
      <c r="D103" s="10" t="n">
        <v>0</v>
      </c>
      <c r="E103" s="10" t="n">
        <v>1</v>
      </c>
      <c r="F103" s="10" t="n">
        <v>3</v>
      </c>
      <c r="G103" s="10" t="n">
        <v>9</v>
      </c>
      <c r="H103" s="10" t="n">
        <v>22</v>
      </c>
      <c r="I103" s="10" t="n">
        <v>0</v>
      </c>
      <c r="J103" s="10" t="n">
        <v>2</v>
      </c>
      <c r="K103" s="10" t="n">
        <v>0</v>
      </c>
      <c r="L103" s="10" t="n">
        <v>0</v>
      </c>
    </row>
    <row r="104" customFormat="false" ht="15" hidden="false" customHeight="false" outlineLevel="0" collapsed="false">
      <c r="A104" s="9" t="s">
        <v>263</v>
      </c>
      <c r="B104" s="9" t="s">
        <v>264</v>
      </c>
      <c r="C104" s="10" t="n">
        <v>5</v>
      </c>
      <c r="D104" s="10" t="n">
        <v>20</v>
      </c>
      <c r="E104" s="10" t="n">
        <v>10</v>
      </c>
      <c r="F104" s="10" t="n">
        <v>11</v>
      </c>
      <c r="G104" s="10" t="n">
        <v>0</v>
      </c>
      <c r="H104" s="10" t="n">
        <v>40</v>
      </c>
      <c r="I104" s="10" t="n">
        <v>0</v>
      </c>
      <c r="J104" s="10" t="n">
        <v>5</v>
      </c>
      <c r="K104" s="10" t="n">
        <v>1</v>
      </c>
      <c r="L104" s="10" t="n">
        <v>0</v>
      </c>
    </row>
    <row r="105" customFormat="false" ht="15" hidden="false" customHeight="false" outlineLevel="0" collapsed="false">
      <c r="A105" s="9" t="s">
        <v>265</v>
      </c>
      <c r="B105" s="9" t="s">
        <v>266</v>
      </c>
      <c r="C105" s="10" t="n">
        <v>0</v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4</v>
      </c>
      <c r="I105" s="10" t="n">
        <v>0</v>
      </c>
      <c r="J105" s="10" t="n">
        <v>0</v>
      </c>
      <c r="K105" s="10" t="n">
        <v>0</v>
      </c>
      <c r="L105" s="10" t="n">
        <v>0</v>
      </c>
    </row>
    <row r="106" customFormat="false" ht="15" hidden="false" customHeight="false" outlineLevel="0" collapsed="false">
      <c r="A106" s="9" t="s">
        <v>267</v>
      </c>
      <c r="B106" s="9" t="s">
        <v>268</v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2</v>
      </c>
      <c r="J106" s="10" t="n">
        <v>1</v>
      </c>
      <c r="K106" s="10" t="n">
        <v>1</v>
      </c>
      <c r="L106" s="10" t="n">
        <v>0</v>
      </c>
    </row>
    <row r="107" customFormat="false" ht="15" hidden="false" customHeight="false" outlineLevel="0" collapsed="false">
      <c r="A107" s="9" t="s">
        <v>269</v>
      </c>
      <c r="B107" s="9" t="s">
        <v>270</v>
      </c>
      <c r="C107" s="10" t="n">
        <v>31109</v>
      </c>
      <c r="D107" s="10" t="n">
        <v>31009</v>
      </c>
      <c r="E107" s="10" t="n">
        <v>23421</v>
      </c>
      <c r="F107" s="10" t="n">
        <v>19880</v>
      </c>
      <c r="G107" s="10" t="n">
        <v>21582</v>
      </c>
      <c r="H107" s="10" t="n">
        <v>19721</v>
      </c>
      <c r="I107" s="10" t="n">
        <v>19608</v>
      </c>
      <c r="J107" s="10" t="n">
        <v>19173</v>
      </c>
      <c r="K107" s="10" t="n">
        <v>23642</v>
      </c>
      <c r="L107" s="10" t="n">
        <v>0</v>
      </c>
    </row>
    <row r="108" customFormat="false" ht="15" hidden="false" customHeight="false" outlineLevel="0" collapsed="false">
      <c r="A108" s="9" t="s">
        <v>271</v>
      </c>
      <c r="B108" s="9" t="s">
        <v>272</v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9</v>
      </c>
      <c r="K108" s="10" t="n">
        <v>0</v>
      </c>
      <c r="L108" s="10" t="n">
        <v>0</v>
      </c>
    </row>
    <row r="109" customFormat="false" ht="15" hidden="false" customHeight="false" outlineLevel="0" collapsed="false">
      <c r="A109" s="9" t="s">
        <v>273</v>
      </c>
      <c r="B109" s="9" t="s">
        <v>274</v>
      </c>
      <c r="C109" s="10" t="n">
        <v>0</v>
      </c>
      <c r="D109" s="10" t="n">
        <v>44</v>
      </c>
      <c r="E109" s="10" t="n">
        <v>0</v>
      </c>
      <c r="F109" s="10" t="n">
        <v>4</v>
      </c>
      <c r="G109" s="10" t="n">
        <v>0</v>
      </c>
      <c r="H109" s="10" t="n">
        <v>0</v>
      </c>
      <c r="I109" s="10" t="n">
        <v>0</v>
      </c>
      <c r="J109" s="10" t="n">
        <v>1</v>
      </c>
      <c r="K109" s="10" t="n">
        <v>0</v>
      </c>
      <c r="L109" s="10" t="n">
        <v>0</v>
      </c>
    </row>
    <row r="110" customFormat="false" ht="15" hidden="false" customHeight="false" outlineLevel="0" collapsed="false">
      <c r="A110" s="9" t="s">
        <v>275</v>
      </c>
      <c r="B110" s="9" t="s">
        <v>276</v>
      </c>
      <c r="C110" s="10" t="n">
        <v>2</v>
      </c>
      <c r="D110" s="10" t="n">
        <v>4</v>
      </c>
      <c r="E110" s="10" t="n">
        <v>2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</row>
    <row r="111" customFormat="false" ht="15" hidden="false" customHeight="false" outlineLevel="0" collapsed="false">
      <c r="A111" s="9" t="s">
        <v>277</v>
      </c>
      <c r="B111" s="9" t="s">
        <v>278</v>
      </c>
      <c r="C111" s="10" t="n">
        <v>367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</row>
    <row r="112" customFormat="false" ht="15" hidden="false" customHeight="false" outlineLevel="0" collapsed="false">
      <c r="A112" s="9" t="s">
        <v>279</v>
      </c>
      <c r="B112" s="9" t="s">
        <v>280</v>
      </c>
      <c r="C112" s="10" t="n">
        <v>0</v>
      </c>
      <c r="D112" s="10" t="n">
        <v>2</v>
      </c>
      <c r="E112" s="10" t="n">
        <v>9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1</v>
      </c>
      <c r="K112" s="10" t="n">
        <v>0</v>
      </c>
      <c r="L112" s="10" t="n">
        <v>0</v>
      </c>
    </row>
    <row r="113" customFormat="false" ht="15" hidden="false" customHeight="false" outlineLevel="0" collapsed="false">
      <c r="A113" s="9" t="s">
        <v>281</v>
      </c>
      <c r="B113" s="9" t="s">
        <v>282</v>
      </c>
      <c r="C113" s="10" t="n">
        <v>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1</v>
      </c>
      <c r="I113" s="10" t="n">
        <v>0</v>
      </c>
      <c r="J113" s="10" t="n">
        <v>3</v>
      </c>
      <c r="K113" s="10" t="n">
        <v>0</v>
      </c>
      <c r="L113" s="10" t="n">
        <v>0</v>
      </c>
    </row>
    <row r="114" customFormat="false" ht="15" hidden="false" customHeight="false" outlineLevel="0" collapsed="false">
      <c r="A114" s="9" t="s">
        <v>283</v>
      </c>
      <c r="B114" s="9" t="s">
        <v>284</v>
      </c>
      <c r="C114" s="10" t="n">
        <v>856</v>
      </c>
      <c r="D114" s="10" t="n">
        <v>1359</v>
      </c>
      <c r="E114" s="10" t="n">
        <v>0</v>
      </c>
      <c r="F114" s="10" t="n">
        <v>2967</v>
      </c>
      <c r="G114" s="10" t="n">
        <v>2221</v>
      </c>
      <c r="H114" s="10" t="n">
        <v>42</v>
      </c>
      <c r="I114" s="10" t="n">
        <v>0</v>
      </c>
      <c r="J114" s="10" t="n">
        <v>0</v>
      </c>
      <c r="K114" s="10" t="n">
        <v>0</v>
      </c>
      <c r="L114" s="10" t="n">
        <v>0</v>
      </c>
    </row>
    <row r="115" customFormat="false" ht="15" hidden="false" customHeight="false" outlineLevel="0" collapsed="false">
      <c r="A115" s="9" t="s">
        <v>285</v>
      </c>
      <c r="B115" s="9" t="s">
        <v>286</v>
      </c>
      <c r="C115" s="10"/>
      <c r="D115" s="10" t="n">
        <v>7732</v>
      </c>
      <c r="E115" s="10" t="n">
        <v>9724</v>
      </c>
      <c r="F115" s="10" t="n">
        <v>34300</v>
      </c>
      <c r="G115" s="10" t="n">
        <v>18600</v>
      </c>
      <c r="H115" s="10" t="n">
        <v>14985</v>
      </c>
      <c r="I115" s="10" t="n">
        <v>19813</v>
      </c>
      <c r="J115" s="10" t="n">
        <v>13812</v>
      </c>
      <c r="K115" s="10" t="n">
        <v>4973</v>
      </c>
      <c r="L115" s="10"/>
    </row>
    <row r="116" customFormat="false" ht="15" hidden="false" customHeight="false" outlineLevel="0" collapsed="false">
      <c r="A116" s="9" t="s">
        <v>287</v>
      </c>
      <c r="B116" s="9" t="s">
        <v>288</v>
      </c>
      <c r="C116" s="10"/>
      <c r="D116" s="10"/>
      <c r="E116" s="10"/>
      <c r="F116" s="10"/>
      <c r="G116" s="10"/>
      <c r="H116" s="10"/>
      <c r="I116" s="10"/>
      <c r="J116" s="10" t="n">
        <v>15094</v>
      </c>
      <c r="K116" s="10" t="n">
        <v>24647</v>
      </c>
      <c r="L116" s="10"/>
    </row>
    <row r="117" customFormat="false" ht="15" hidden="false" customHeight="false" outlineLevel="0" collapsed="false">
      <c r="A117" s="9" t="s">
        <v>289</v>
      </c>
      <c r="B117" s="9" t="s">
        <v>290</v>
      </c>
      <c r="C117" s="10"/>
      <c r="D117" s="10" t="n">
        <v>0</v>
      </c>
      <c r="E117" s="10" t="n">
        <v>0</v>
      </c>
      <c r="F117" s="10" t="n">
        <v>4</v>
      </c>
      <c r="G117" s="10" t="n">
        <v>5</v>
      </c>
      <c r="H117" s="10" t="n">
        <v>39</v>
      </c>
      <c r="I117" s="10" t="n">
        <v>26</v>
      </c>
      <c r="J117" s="10" t="n">
        <v>20</v>
      </c>
      <c r="K117" s="10" t="n">
        <v>61</v>
      </c>
      <c r="L117" s="10"/>
    </row>
    <row r="118" customFormat="false" ht="15" hidden="false" customHeight="false" outlineLevel="0" collapsed="false">
      <c r="A118" s="9" t="s">
        <v>291</v>
      </c>
      <c r="B118" s="9" t="s">
        <v>292</v>
      </c>
      <c r="C118" s="10" t="n">
        <v>24181</v>
      </c>
      <c r="D118" s="10" t="n">
        <v>23954</v>
      </c>
      <c r="E118" s="10" t="n">
        <v>62204</v>
      </c>
      <c r="F118" s="10" t="n">
        <v>75205</v>
      </c>
      <c r="G118" s="10" t="n">
        <v>52680</v>
      </c>
      <c r="H118" s="10" t="n">
        <v>96306</v>
      </c>
      <c r="I118" s="10" t="n">
        <v>108007</v>
      </c>
      <c r="J118" s="10" t="n">
        <v>101656</v>
      </c>
      <c r="K118" s="10" t="n">
        <v>95092</v>
      </c>
      <c r="L118" s="10"/>
    </row>
    <row r="119" customFormat="false" ht="15" hidden="false" customHeight="false" outlineLevel="0" collapsed="false">
      <c r="A119" s="9" t="s">
        <v>293</v>
      </c>
      <c r="B119" s="9" t="s">
        <v>294</v>
      </c>
      <c r="C119" s="10" t="n">
        <v>3095</v>
      </c>
      <c r="D119" s="10" t="n">
        <v>4342</v>
      </c>
      <c r="E119" s="10" t="n">
        <v>8694</v>
      </c>
      <c r="F119" s="10" t="n">
        <v>8547</v>
      </c>
      <c r="G119" s="10" t="n">
        <v>5578</v>
      </c>
      <c r="H119" s="10" t="n">
        <v>11234</v>
      </c>
      <c r="I119" s="10" t="n">
        <v>13387</v>
      </c>
      <c r="J119" s="10" t="n">
        <v>11186</v>
      </c>
      <c r="K119" s="10" t="n">
        <v>10326</v>
      </c>
      <c r="L119" s="10"/>
    </row>
    <row r="120" customFormat="false" ht="15" hidden="false" customHeight="false" outlineLevel="0" collapsed="false">
      <c r="A120" s="9" t="s">
        <v>295</v>
      </c>
      <c r="B120" s="9" t="s">
        <v>296</v>
      </c>
      <c r="C120" s="10" t="n">
        <v>7</v>
      </c>
      <c r="D120" s="10" t="n">
        <v>126</v>
      </c>
      <c r="E120" s="10" t="n">
        <v>123</v>
      </c>
      <c r="F120" s="10" t="n">
        <v>224</v>
      </c>
      <c r="G120" s="10" t="n">
        <v>391</v>
      </c>
      <c r="H120" s="10" t="n">
        <v>831</v>
      </c>
      <c r="I120" s="10" t="n">
        <v>133</v>
      </c>
      <c r="J120" s="10" t="n">
        <v>171</v>
      </c>
      <c r="K120" s="10" t="n">
        <v>100</v>
      </c>
      <c r="L120" s="10"/>
    </row>
    <row r="121" customFormat="false" ht="15" hidden="false" customHeight="false" outlineLevel="0" collapsed="false">
      <c r="A121" s="9" t="s">
        <v>297</v>
      </c>
      <c r="B121" s="9" t="s">
        <v>298</v>
      </c>
      <c r="C121" s="10" t="n">
        <v>26</v>
      </c>
      <c r="D121" s="10" t="n">
        <v>6</v>
      </c>
      <c r="E121" s="10" t="n">
        <v>10</v>
      </c>
      <c r="F121" s="10" t="n">
        <v>19</v>
      </c>
      <c r="G121" s="10" t="n">
        <v>29</v>
      </c>
      <c r="H121" s="10" t="n">
        <v>17</v>
      </c>
      <c r="I121" s="10" t="n">
        <v>7</v>
      </c>
      <c r="J121" s="10" t="n">
        <v>52</v>
      </c>
      <c r="K121" s="10" t="n">
        <v>109</v>
      </c>
      <c r="L121" s="10"/>
    </row>
    <row r="122" customFormat="false" ht="15" hidden="false" customHeight="false" outlineLevel="0" collapsed="false">
      <c r="A122" s="9" t="s">
        <v>299</v>
      </c>
      <c r="B122" s="9" t="s">
        <v>300</v>
      </c>
      <c r="C122" s="10" t="n">
        <v>0</v>
      </c>
      <c r="D122" s="10" t="n">
        <v>0</v>
      </c>
      <c r="E122" s="10" t="n">
        <v>2152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27</v>
      </c>
      <c r="K122" s="10" t="n">
        <v>11</v>
      </c>
      <c r="L122" s="10"/>
    </row>
    <row r="123" customFormat="false" ht="15" hidden="false" customHeight="false" outlineLevel="0" collapsed="false">
      <c r="A123" s="9" t="s">
        <v>301</v>
      </c>
      <c r="B123" s="9" t="s">
        <v>302</v>
      </c>
      <c r="C123" s="10" t="n">
        <v>6</v>
      </c>
      <c r="D123" s="10" t="n">
        <v>0</v>
      </c>
      <c r="E123" s="10" t="n">
        <v>0</v>
      </c>
      <c r="F123" s="10" t="n">
        <v>2</v>
      </c>
      <c r="G123" s="10" t="n">
        <v>0</v>
      </c>
      <c r="H123" s="10" t="n">
        <v>7</v>
      </c>
      <c r="I123" s="10" t="n">
        <v>27</v>
      </c>
      <c r="J123" s="10"/>
      <c r="K123" s="10"/>
      <c r="L123" s="10"/>
    </row>
    <row r="124" customFormat="false" ht="15" hidden="false" customHeight="false" outlineLevel="0" collapsed="false">
      <c r="A124" s="9" t="s">
        <v>303</v>
      </c>
      <c r="B124" s="9" t="s">
        <v>304</v>
      </c>
      <c r="C124" s="10" t="n">
        <v>24</v>
      </c>
      <c r="D124" s="10" t="n">
        <v>16</v>
      </c>
      <c r="E124" s="10" t="n">
        <v>11</v>
      </c>
      <c r="F124" s="10" t="n">
        <v>32</v>
      </c>
      <c r="G124" s="10" t="n">
        <v>31</v>
      </c>
      <c r="H124" s="10" t="n">
        <v>28</v>
      </c>
      <c r="I124" s="10" t="n">
        <v>40</v>
      </c>
      <c r="J124" s="10" t="n">
        <v>44</v>
      </c>
      <c r="K124" s="10" t="n">
        <v>31</v>
      </c>
      <c r="L124" s="10"/>
    </row>
    <row r="125" customFormat="false" ht="15" hidden="false" customHeight="false" outlineLevel="0" collapsed="false">
      <c r="A125" s="9" t="s">
        <v>305</v>
      </c>
      <c r="B125" s="9" t="s">
        <v>306</v>
      </c>
      <c r="C125" s="10" t="n">
        <v>0</v>
      </c>
      <c r="D125" s="10" t="n">
        <v>0</v>
      </c>
      <c r="E125" s="10" t="n">
        <v>0</v>
      </c>
      <c r="F125" s="10" t="n">
        <v>3</v>
      </c>
      <c r="G125" s="10" t="n">
        <v>0</v>
      </c>
      <c r="H125" s="10" t="n">
        <v>43</v>
      </c>
      <c r="I125" s="10" t="n">
        <v>0</v>
      </c>
      <c r="J125" s="10" t="n">
        <v>7</v>
      </c>
      <c r="K125" s="10" t="n">
        <v>17</v>
      </c>
      <c r="L125" s="10"/>
    </row>
    <row r="126" customFormat="false" ht="15" hidden="false" customHeight="false" outlineLevel="0" collapsed="false">
      <c r="A126" s="9" t="s">
        <v>307</v>
      </c>
      <c r="B126" s="9" t="s">
        <v>308</v>
      </c>
      <c r="C126" s="10" t="n">
        <v>7290</v>
      </c>
      <c r="D126" s="10" t="n">
        <v>24470</v>
      </c>
      <c r="E126" s="10" t="n">
        <v>18700</v>
      </c>
      <c r="F126" s="10" t="n">
        <v>35539</v>
      </c>
      <c r="G126" s="10" t="n">
        <v>40325</v>
      </c>
      <c r="H126" s="10" t="n">
        <v>23448</v>
      </c>
      <c r="I126" s="10" t="n">
        <v>22336</v>
      </c>
      <c r="J126" s="10" t="n">
        <v>17237</v>
      </c>
      <c r="K126" s="10"/>
      <c r="L126" s="10"/>
    </row>
    <row r="127" customFormat="false" ht="15" hidden="false" customHeight="false" outlineLevel="0" collapsed="false">
      <c r="A127" s="9" t="s">
        <v>309</v>
      </c>
      <c r="B127" s="9" t="s">
        <v>310</v>
      </c>
      <c r="C127" s="10" t="n">
        <v>2421</v>
      </c>
      <c r="D127" s="10" t="n">
        <v>2671</v>
      </c>
      <c r="E127" s="10" t="n">
        <v>2872</v>
      </c>
      <c r="F127" s="10" t="n">
        <v>2494</v>
      </c>
      <c r="G127" s="10" t="n">
        <v>3840</v>
      </c>
      <c r="H127" s="10" t="n">
        <v>9203</v>
      </c>
      <c r="I127" s="10" t="n">
        <v>11728</v>
      </c>
      <c r="J127" s="10" t="n">
        <v>4599</v>
      </c>
      <c r="K127" s="10" t="n">
        <v>3735</v>
      </c>
      <c r="L127" s="10"/>
    </row>
    <row r="128" customFormat="false" ht="15" hidden="false" customHeight="false" outlineLevel="0" collapsed="false">
      <c r="A128" s="9" t="s">
        <v>311</v>
      </c>
      <c r="B128" s="9" t="s">
        <v>312</v>
      </c>
      <c r="C128" s="10" t="n">
        <v>6</v>
      </c>
      <c r="D128" s="10" t="n">
        <v>13</v>
      </c>
      <c r="E128" s="10" t="n">
        <v>2</v>
      </c>
      <c r="F128" s="10" t="n">
        <v>20</v>
      </c>
      <c r="G128" s="10" t="n">
        <v>11</v>
      </c>
      <c r="H128" s="10" t="n">
        <v>860</v>
      </c>
      <c r="I128" s="10" t="n">
        <v>2088</v>
      </c>
      <c r="J128" s="10" t="n">
        <v>2300</v>
      </c>
      <c r="K128" s="10" t="n">
        <v>2161</v>
      </c>
      <c r="L128" s="10"/>
    </row>
    <row r="129" customFormat="false" ht="15" hidden="false" customHeight="false" outlineLevel="0" collapsed="false">
      <c r="A129" s="9" t="s">
        <v>313</v>
      </c>
      <c r="B129" s="9" t="s">
        <v>314</v>
      </c>
      <c r="C129" s="10" t="n">
        <v>5958</v>
      </c>
      <c r="D129" s="10" t="n">
        <v>25632</v>
      </c>
      <c r="E129" s="10" t="n">
        <v>24169</v>
      </c>
      <c r="F129" s="10" t="n">
        <v>14964</v>
      </c>
      <c r="G129" s="10" t="n">
        <v>1964</v>
      </c>
      <c r="H129" s="10" t="n">
        <v>2158</v>
      </c>
      <c r="I129" s="10" t="n">
        <v>865</v>
      </c>
      <c r="J129" s="10" t="n">
        <v>502</v>
      </c>
      <c r="K129" s="10" t="n">
        <v>188</v>
      </c>
      <c r="L129" s="10"/>
    </row>
    <row r="130" customFormat="false" ht="15" hidden="false" customHeight="false" outlineLevel="0" collapsed="false">
      <c r="A130" s="9" t="s">
        <v>315</v>
      </c>
      <c r="B130" s="9" t="s">
        <v>316</v>
      </c>
      <c r="C130" s="10" t="n">
        <v>604</v>
      </c>
      <c r="D130" s="10" t="n">
        <v>221</v>
      </c>
      <c r="E130" s="10" t="n">
        <v>299</v>
      </c>
      <c r="F130" s="10" t="n">
        <v>2624</v>
      </c>
      <c r="G130" s="10" t="n">
        <v>723</v>
      </c>
      <c r="H130" s="10" t="n">
        <v>2114</v>
      </c>
      <c r="I130" s="10" t="n">
        <v>2224</v>
      </c>
      <c r="J130" s="10" t="n">
        <v>4487</v>
      </c>
      <c r="K130" s="10" t="n">
        <v>6758</v>
      </c>
      <c r="L130" s="10"/>
    </row>
    <row r="131" customFormat="false" ht="15" hidden="false" customHeight="false" outlineLevel="0" collapsed="false">
      <c r="A131" s="9" t="s">
        <v>317</v>
      </c>
      <c r="B131" s="9" t="s">
        <v>318</v>
      </c>
      <c r="C131" s="10" t="n">
        <v>0</v>
      </c>
      <c r="D131" s="10" t="n">
        <v>1</v>
      </c>
      <c r="E131" s="10" t="n">
        <v>0</v>
      </c>
      <c r="F131" s="10" t="n">
        <v>0</v>
      </c>
      <c r="G131" s="10" t="n">
        <v>1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/>
    </row>
    <row r="132" customFormat="false" ht="15" hidden="false" customHeight="false" outlineLevel="0" collapsed="false">
      <c r="A132" s="9" t="s">
        <v>319</v>
      </c>
      <c r="B132" s="9" t="s">
        <v>320</v>
      </c>
      <c r="C132" s="10" t="n">
        <v>308</v>
      </c>
      <c r="D132" s="10" t="n">
        <v>11</v>
      </c>
      <c r="E132" s="10" t="n">
        <v>3</v>
      </c>
      <c r="F132" s="10" t="n">
        <v>8</v>
      </c>
      <c r="G132" s="10" t="n">
        <v>0</v>
      </c>
      <c r="H132" s="10" t="n">
        <v>8</v>
      </c>
      <c r="I132" s="10" t="n">
        <v>14</v>
      </c>
      <c r="J132" s="10" t="n">
        <v>5</v>
      </c>
      <c r="K132" s="10" t="n">
        <v>1</v>
      </c>
      <c r="L132" s="10"/>
    </row>
    <row r="133" customFormat="false" ht="15" hidden="false" customHeight="false" outlineLevel="0" collapsed="false">
      <c r="A133" s="9" t="s">
        <v>321</v>
      </c>
      <c r="B133" s="9" t="s">
        <v>322</v>
      </c>
      <c r="C133" s="10" t="n">
        <v>0</v>
      </c>
      <c r="D133" s="10" t="n">
        <v>0</v>
      </c>
      <c r="E133" s="10" t="n">
        <v>1</v>
      </c>
      <c r="F133" s="10"/>
      <c r="G133" s="10"/>
      <c r="H133" s="10"/>
      <c r="I133" s="10"/>
      <c r="J133" s="10"/>
      <c r="K133" s="10"/>
      <c r="L133" s="10"/>
    </row>
    <row r="134" customFormat="false" ht="15" hidden="false" customHeight="false" outlineLevel="0" collapsed="false">
      <c r="A134" s="9" t="s">
        <v>323</v>
      </c>
      <c r="B134" s="9" t="s">
        <v>324</v>
      </c>
      <c r="C134" s="10" t="n">
        <v>496</v>
      </c>
      <c r="D134" s="10" t="n">
        <v>499</v>
      </c>
      <c r="E134" s="10" t="n">
        <v>914</v>
      </c>
      <c r="F134" s="10" t="n">
        <v>576</v>
      </c>
      <c r="G134" s="10" t="n">
        <v>1715</v>
      </c>
      <c r="H134" s="10" t="n">
        <v>776</v>
      </c>
      <c r="I134" s="10"/>
      <c r="J134" s="10"/>
      <c r="K134" s="10"/>
      <c r="L134" s="10"/>
    </row>
    <row r="135" customFormat="false" ht="15" hidden="false" customHeight="false" outlineLevel="0" collapsed="false">
      <c r="A135" s="9" t="s">
        <v>325</v>
      </c>
      <c r="B135" s="9" t="s">
        <v>326</v>
      </c>
      <c r="C135" s="10" t="n">
        <v>1144740</v>
      </c>
      <c r="D135" s="10" t="n">
        <v>1479306</v>
      </c>
      <c r="E135" s="10" t="n">
        <v>1563283</v>
      </c>
      <c r="F135" s="10" t="n">
        <v>1549394</v>
      </c>
      <c r="G135" s="10" t="n">
        <v>1341076</v>
      </c>
      <c r="H135" s="10" t="n">
        <v>1292215</v>
      </c>
      <c r="I135" s="10" t="n">
        <v>842705</v>
      </c>
      <c r="J135" s="10" t="n">
        <v>928541</v>
      </c>
      <c r="K135" s="10" t="n">
        <v>849876</v>
      </c>
      <c r="L135" s="10"/>
    </row>
    <row r="136" customFormat="false" ht="15" hidden="false" customHeight="false" outlineLevel="0" collapsed="false">
      <c r="A136" s="9" t="s">
        <v>327</v>
      </c>
      <c r="B136" s="9" t="s">
        <v>328</v>
      </c>
      <c r="C136" s="10" t="n">
        <v>0</v>
      </c>
      <c r="D136" s="10" t="n">
        <v>3</v>
      </c>
      <c r="E136" s="10" t="n">
        <v>0</v>
      </c>
      <c r="F136" s="10"/>
      <c r="G136" s="10"/>
      <c r="H136" s="10"/>
      <c r="I136" s="10"/>
      <c r="J136" s="10"/>
      <c r="K136" s="10"/>
      <c r="L136" s="10"/>
    </row>
    <row r="137" customFormat="false" ht="15" hidden="false" customHeight="false" outlineLevel="0" collapsed="false">
      <c r="A137" s="9" t="s">
        <v>329</v>
      </c>
      <c r="B137" s="9" t="s">
        <v>330</v>
      </c>
      <c r="C137" s="10" t="n">
        <v>496</v>
      </c>
      <c r="D137" s="10" t="n">
        <v>274</v>
      </c>
      <c r="E137" s="10" t="n">
        <v>471</v>
      </c>
      <c r="F137" s="10" t="n">
        <v>838</v>
      </c>
      <c r="G137" s="10" t="n">
        <v>258</v>
      </c>
      <c r="H137" s="10"/>
      <c r="I137" s="10"/>
      <c r="J137" s="10"/>
      <c r="K137" s="10"/>
      <c r="L137" s="10"/>
    </row>
    <row r="138" customFormat="false" ht="15" hidden="false" customHeight="false" outlineLevel="0" collapsed="false">
      <c r="A138" s="9" t="s">
        <v>331</v>
      </c>
      <c r="B138" s="9" t="s">
        <v>332</v>
      </c>
      <c r="C138" s="10" t="n">
        <v>47</v>
      </c>
      <c r="D138" s="10" t="n">
        <v>50</v>
      </c>
      <c r="E138" s="10" t="n">
        <v>67</v>
      </c>
      <c r="F138" s="10" t="n">
        <v>82</v>
      </c>
      <c r="G138" s="10" t="n">
        <v>77</v>
      </c>
      <c r="H138" s="10" t="n">
        <v>52</v>
      </c>
      <c r="I138" s="10" t="n">
        <v>74</v>
      </c>
      <c r="J138" s="10" t="n">
        <v>50</v>
      </c>
      <c r="K138" s="10"/>
      <c r="L138" s="10"/>
    </row>
    <row r="139" customFormat="false" ht="15" hidden="false" customHeight="false" outlineLevel="0" collapsed="false">
      <c r="A139" s="9" t="s">
        <v>333</v>
      </c>
      <c r="B139" s="9" t="s">
        <v>334</v>
      </c>
      <c r="C139" s="10"/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8</v>
      </c>
      <c r="I139" s="10" t="n">
        <v>1</v>
      </c>
      <c r="J139" s="10" t="n">
        <v>0</v>
      </c>
      <c r="K139" s="10"/>
      <c r="L139" s="10"/>
    </row>
    <row r="140" customFormat="false" ht="15" hidden="false" customHeight="false" outlineLevel="0" collapsed="false">
      <c r="A140" s="9" t="s">
        <v>335</v>
      </c>
      <c r="B140" s="9" t="s">
        <v>336</v>
      </c>
      <c r="C140" s="10"/>
      <c r="D140" s="10" t="n">
        <v>5</v>
      </c>
      <c r="E140" s="10" t="n">
        <v>3</v>
      </c>
      <c r="F140" s="10" t="n">
        <v>17</v>
      </c>
      <c r="G140" s="10" t="n">
        <v>63</v>
      </c>
      <c r="H140" s="10"/>
      <c r="I140" s="10"/>
      <c r="J140" s="10"/>
      <c r="K140" s="10"/>
      <c r="L140" s="10"/>
    </row>
    <row r="141" customFormat="false" ht="15" hidden="false" customHeight="false" outlineLevel="0" collapsed="false">
      <c r="A141" s="9" t="s">
        <v>337</v>
      </c>
      <c r="B141" s="9" t="s">
        <v>338</v>
      </c>
      <c r="C141" s="10" t="n">
        <v>5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/>
      <c r="L141" s="10"/>
    </row>
    <row r="142" customFormat="false" ht="15" hidden="false" customHeight="false" outlineLevel="0" collapsed="false">
      <c r="A142" s="9" t="s">
        <v>339</v>
      </c>
      <c r="B142" s="9" t="s">
        <v>340</v>
      </c>
      <c r="C142" s="10" t="n">
        <v>26</v>
      </c>
      <c r="D142" s="10" t="n">
        <v>41</v>
      </c>
      <c r="E142" s="10" t="n">
        <v>29</v>
      </c>
      <c r="F142" s="10" t="n">
        <v>35</v>
      </c>
      <c r="G142" s="10" t="n">
        <v>8</v>
      </c>
      <c r="H142" s="10" t="n">
        <v>21</v>
      </c>
      <c r="I142" s="10" t="n">
        <v>20</v>
      </c>
      <c r="J142" s="10" t="n">
        <v>14</v>
      </c>
      <c r="K142" s="10"/>
      <c r="L142" s="10"/>
    </row>
    <row r="143" customFormat="false" ht="15" hidden="false" customHeight="false" outlineLevel="0" collapsed="false">
      <c r="A143" s="9" t="s">
        <v>341</v>
      </c>
      <c r="B143" s="9" t="s">
        <v>342</v>
      </c>
      <c r="C143" s="10" t="n">
        <v>334</v>
      </c>
      <c r="D143" s="10" t="n">
        <v>233</v>
      </c>
      <c r="E143" s="10" t="n">
        <v>89</v>
      </c>
      <c r="F143" s="10" t="n">
        <v>247</v>
      </c>
      <c r="G143" s="10" t="n">
        <v>357</v>
      </c>
      <c r="H143" s="10" t="n">
        <v>515</v>
      </c>
      <c r="I143" s="10" t="n">
        <v>114</v>
      </c>
      <c r="J143" s="10" t="n">
        <v>469</v>
      </c>
      <c r="K143" s="10"/>
      <c r="L143" s="10"/>
    </row>
    <row r="144" customFormat="false" ht="15" hidden="false" customHeight="false" outlineLevel="0" collapsed="false">
      <c r="A144" s="9" t="s">
        <v>343</v>
      </c>
      <c r="B144" s="9" t="s">
        <v>344</v>
      </c>
      <c r="C144" s="10" t="n">
        <v>0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9</v>
      </c>
      <c r="I144" s="10" t="n">
        <v>9</v>
      </c>
      <c r="J144" s="10"/>
      <c r="K144" s="10"/>
      <c r="L144" s="10"/>
    </row>
    <row r="145" customFormat="false" ht="15" hidden="false" customHeight="false" outlineLevel="0" collapsed="false">
      <c r="A145" s="9" t="s">
        <v>345</v>
      </c>
      <c r="B145" s="9" t="s">
        <v>346</v>
      </c>
      <c r="C145" s="10" t="n">
        <v>11854</v>
      </c>
      <c r="D145" s="10" t="n">
        <v>4172</v>
      </c>
      <c r="E145" s="10" t="n">
        <v>13259</v>
      </c>
      <c r="F145" s="10" t="n">
        <v>14172</v>
      </c>
      <c r="G145" s="10" t="n">
        <v>6879</v>
      </c>
      <c r="H145" s="10" t="n">
        <v>8818</v>
      </c>
      <c r="I145" s="10" t="n">
        <v>10706</v>
      </c>
      <c r="J145" s="10" t="n">
        <v>17207</v>
      </c>
      <c r="K145" s="10"/>
      <c r="L145" s="10"/>
    </row>
    <row r="146" customFormat="false" ht="15" hidden="false" customHeight="false" outlineLevel="0" collapsed="false">
      <c r="A146" s="9" t="s">
        <v>347</v>
      </c>
      <c r="B146" s="9" t="s">
        <v>348</v>
      </c>
      <c r="C146" s="10" t="n">
        <v>1</v>
      </c>
      <c r="D146" s="10" t="n">
        <v>0</v>
      </c>
      <c r="E146" s="10"/>
      <c r="F146" s="10"/>
      <c r="G146" s="10"/>
      <c r="H146" s="10"/>
      <c r="I146" s="10"/>
      <c r="J146" s="10"/>
      <c r="K146" s="10"/>
      <c r="L146" s="10"/>
    </row>
    <row r="147" customFormat="false" ht="15" hidden="false" customHeight="false" outlineLevel="0" collapsed="false">
      <c r="A147" s="9" t="s">
        <v>349</v>
      </c>
      <c r="B147" s="9" t="s">
        <v>350</v>
      </c>
      <c r="C147" s="10" t="n">
        <v>3023</v>
      </c>
      <c r="D147" s="10" t="n">
        <v>2475</v>
      </c>
      <c r="E147" s="10" t="n">
        <v>2200</v>
      </c>
      <c r="F147" s="10" t="n">
        <v>3141</v>
      </c>
      <c r="G147" s="10" t="n">
        <v>3570</v>
      </c>
      <c r="H147" s="10" t="n">
        <v>3020</v>
      </c>
      <c r="I147" s="10" t="n">
        <v>2683</v>
      </c>
      <c r="J147" s="10" t="n">
        <v>5243</v>
      </c>
      <c r="K147" s="10" t="n">
        <v>6135</v>
      </c>
      <c r="L147" s="10"/>
    </row>
    <row r="148" customFormat="false" ht="15" hidden="false" customHeight="false" outlineLevel="0" collapsed="false">
      <c r="A148" s="9" t="s">
        <v>351</v>
      </c>
      <c r="B148" s="9" t="s">
        <v>352</v>
      </c>
      <c r="C148" s="10" t="n">
        <v>26</v>
      </c>
      <c r="D148" s="10" t="n">
        <v>10</v>
      </c>
      <c r="E148" s="10" t="n">
        <v>2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9</v>
      </c>
      <c r="L148" s="10"/>
    </row>
    <row r="149" customFormat="false" ht="15" hidden="false" customHeight="false" outlineLevel="0" collapsed="false">
      <c r="A149" s="9" t="s">
        <v>353</v>
      </c>
      <c r="B149" s="9" t="s">
        <v>354</v>
      </c>
      <c r="C149" s="10"/>
      <c r="D149" s="10"/>
      <c r="E149" s="10"/>
      <c r="F149" s="10"/>
      <c r="G149" s="10"/>
      <c r="H149" s="10" t="n">
        <v>71</v>
      </c>
      <c r="I149" s="10" t="n">
        <v>139</v>
      </c>
      <c r="J149" s="10" t="n">
        <v>81</v>
      </c>
      <c r="K149" s="10"/>
      <c r="L149" s="10"/>
    </row>
    <row r="150" customFormat="false" ht="15" hidden="false" customHeight="false" outlineLevel="0" collapsed="false">
      <c r="A150" s="9" t="s">
        <v>355</v>
      </c>
      <c r="B150" s="9" t="s">
        <v>356</v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13</v>
      </c>
      <c r="I150" s="10" t="n">
        <v>42</v>
      </c>
      <c r="J150" s="10" t="n">
        <v>24</v>
      </c>
      <c r="K150" s="10"/>
      <c r="L150" s="10"/>
    </row>
    <row r="151" customFormat="false" ht="15" hidden="false" customHeight="false" outlineLevel="0" collapsed="false">
      <c r="A151" s="9" t="s">
        <v>357</v>
      </c>
      <c r="B151" s="9" t="s">
        <v>358</v>
      </c>
      <c r="C151" s="10" t="n">
        <v>94</v>
      </c>
      <c r="D151" s="10" t="n">
        <v>5253</v>
      </c>
      <c r="E151" s="10" t="n">
        <v>7214</v>
      </c>
      <c r="F151" s="10" t="n">
        <v>6583</v>
      </c>
      <c r="G151" s="10"/>
      <c r="H151" s="10" t="n">
        <v>5547</v>
      </c>
      <c r="I151" s="10" t="n">
        <v>5491</v>
      </c>
      <c r="J151" s="10" t="n">
        <v>6326</v>
      </c>
      <c r="K151" s="10" t="n">
        <v>8510</v>
      </c>
      <c r="L151" s="10"/>
    </row>
    <row r="152" customFormat="false" ht="15" hidden="false" customHeight="false" outlineLevel="0" collapsed="false">
      <c r="A152" s="9" t="s">
        <v>359</v>
      </c>
      <c r="B152" s="9" t="s">
        <v>360</v>
      </c>
      <c r="C152" s="10" t="n">
        <v>2015</v>
      </c>
      <c r="D152" s="10" t="n">
        <v>2814</v>
      </c>
      <c r="E152" s="10" t="n">
        <v>3266</v>
      </c>
      <c r="F152" s="10" t="n">
        <v>2611</v>
      </c>
      <c r="G152" s="10" t="n">
        <v>1191</v>
      </c>
      <c r="H152" s="10" t="n">
        <v>2122</v>
      </c>
      <c r="I152" s="10" t="n">
        <v>2570</v>
      </c>
      <c r="J152" s="10" t="n">
        <v>543</v>
      </c>
      <c r="K152" s="10" t="n">
        <v>326</v>
      </c>
      <c r="L152" s="10"/>
    </row>
    <row r="153" customFormat="false" ht="15" hidden="false" customHeight="false" outlineLevel="0" collapsed="false">
      <c r="A153" s="9" t="s">
        <v>361</v>
      </c>
      <c r="B153" s="9" t="s">
        <v>362</v>
      </c>
      <c r="C153" s="10" t="n">
        <v>566</v>
      </c>
      <c r="D153" s="10" t="n">
        <v>728</v>
      </c>
      <c r="E153" s="10" t="n">
        <v>1561</v>
      </c>
      <c r="F153" s="10" t="n">
        <v>532</v>
      </c>
      <c r="G153" s="10" t="n">
        <v>367</v>
      </c>
      <c r="H153" s="10" t="n">
        <v>8882</v>
      </c>
      <c r="I153" s="10"/>
      <c r="J153" s="10"/>
      <c r="K153" s="10"/>
      <c r="L153" s="10"/>
    </row>
    <row r="154" customFormat="false" ht="15" hidden="false" customHeight="false" outlineLevel="0" collapsed="false">
      <c r="A154" s="9" t="s">
        <v>363</v>
      </c>
      <c r="B154" s="9" t="s">
        <v>364</v>
      </c>
      <c r="C154" s="10" t="n">
        <v>5449</v>
      </c>
      <c r="D154" s="10" t="n">
        <v>6996</v>
      </c>
      <c r="E154" s="10" t="n">
        <v>4884</v>
      </c>
      <c r="F154" s="10" t="n">
        <v>9827</v>
      </c>
      <c r="G154" s="10" t="n">
        <v>75</v>
      </c>
      <c r="H154" s="10" t="n">
        <v>7619</v>
      </c>
      <c r="I154" s="10" t="n">
        <v>2003</v>
      </c>
      <c r="J154" s="10" t="n">
        <v>1179</v>
      </c>
      <c r="K154" s="10" t="n">
        <v>23</v>
      </c>
      <c r="L154" s="10"/>
    </row>
    <row r="155" customFormat="false" ht="15" hidden="false" customHeight="false" outlineLevel="0" collapsed="false">
      <c r="A155" s="9" t="s">
        <v>365</v>
      </c>
      <c r="B155" s="9" t="s">
        <v>366</v>
      </c>
      <c r="C155" s="10" t="n">
        <v>0</v>
      </c>
      <c r="D155" s="10" t="n">
        <v>0</v>
      </c>
      <c r="E155" s="10" t="n">
        <v>0</v>
      </c>
      <c r="F155" s="10"/>
      <c r="G155" s="10" t="n">
        <v>23</v>
      </c>
      <c r="H155" s="10" t="n">
        <v>48</v>
      </c>
      <c r="I155" s="10" t="n">
        <v>23</v>
      </c>
      <c r="J155" s="10" t="n">
        <v>0</v>
      </c>
      <c r="K155" s="10" t="n">
        <v>0</v>
      </c>
      <c r="L155" s="10"/>
    </row>
    <row r="156" customFormat="false" ht="15" hidden="false" customHeight="false" outlineLevel="0" collapsed="false">
      <c r="A156" s="9" t="s">
        <v>367</v>
      </c>
      <c r="B156" s="9" t="s">
        <v>368</v>
      </c>
      <c r="C156" s="10" t="n">
        <v>59</v>
      </c>
      <c r="D156" s="10" t="n">
        <v>153</v>
      </c>
      <c r="E156" s="10" t="n">
        <v>524</v>
      </c>
      <c r="F156" s="10" t="n">
        <v>188</v>
      </c>
      <c r="G156" s="10" t="n">
        <v>11</v>
      </c>
      <c r="H156" s="10" t="n">
        <v>35</v>
      </c>
      <c r="I156" s="10" t="n">
        <v>57</v>
      </c>
      <c r="J156" s="10" t="n">
        <v>69</v>
      </c>
      <c r="K156" s="10" t="n">
        <v>45</v>
      </c>
      <c r="L156" s="10"/>
    </row>
    <row r="157" customFormat="false" ht="15" hidden="false" customHeight="false" outlineLevel="0" collapsed="false">
      <c r="A157" s="9" t="s">
        <v>369</v>
      </c>
      <c r="B157" s="9" t="s">
        <v>370</v>
      </c>
      <c r="C157" s="10" t="n">
        <v>0</v>
      </c>
      <c r="D157" s="10" t="n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1</v>
      </c>
      <c r="K157" s="10" t="n">
        <v>2</v>
      </c>
      <c r="L157" s="10"/>
    </row>
    <row r="158" customFormat="false" ht="15" hidden="false" customHeight="false" outlineLevel="0" collapsed="false">
      <c r="A158" s="9" t="s">
        <v>371</v>
      </c>
      <c r="B158" s="9" t="s">
        <v>372</v>
      </c>
      <c r="C158" s="10" t="n">
        <v>2</v>
      </c>
      <c r="D158" s="10" t="n">
        <v>2</v>
      </c>
      <c r="E158" s="10" t="n">
        <v>1</v>
      </c>
      <c r="F158" s="10" t="n">
        <v>0</v>
      </c>
      <c r="G158" s="10" t="n">
        <v>0</v>
      </c>
      <c r="H158" s="10" t="n">
        <v>5</v>
      </c>
      <c r="I158" s="10" t="n">
        <v>16</v>
      </c>
      <c r="J158" s="10" t="n">
        <v>1</v>
      </c>
      <c r="K158" s="10" t="n">
        <v>1</v>
      </c>
      <c r="L158" s="10"/>
    </row>
    <row r="159" customFormat="false" ht="15" hidden="false" customHeight="false" outlineLevel="0" collapsed="false">
      <c r="A159" s="9" t="s">
        <v>373</v>
      </c>
      <c r="B159" s="9" t="s">
        <v>374</v>
      </c>
      <c r="C159" s="10" t="n">
        <v>191</v>
      </c>
      <c r="D159" s="10" t="n">
        <v>210</v>
      </c>
      <c r="E159" s="10" t="n">
        <v>485</v>
      </c>
      <c r="F159" s="10" t="n">
        <v>177</v>
      </c>
      <c r="G159" s="10" t="n">
        <v>308</v>
      </c>
      <c r="H159" s="10" t="n">
        <v>51</v>
      </c>
      <c r="I159" s="10" t="n">
        <v>101</v>
      </c>
      <c r="J159" s="10" t="n">
        <v>59</v>
      </c>
      <c r="K159" s="10" t="n">
        <v>78</v>
      </c>
      <c r="L159" s="10"/>
    </row>
    <row r="160" customFormat="false" ht="15" hidden="false" customHeight="false" outlineLevel="0" collapsed="false">
      <c r="A160" s="9" t="s">
        <v>375</v>
      </c>
      <c r="B160" s="9" t="s">
        <v>376</v>
      </c>
      <c r="C160" s="10" t="n">
        <v>63</v>
      </c>
      <c r="D160" s="10" t="n">
        <v>0</v>
      </c>
      <c r="E160" s="10" t="n">
        <v>66</v>
      </c>
      <c r="F160" s="10"/>
      <c r="G160" s="10"/>
      <c r="H160" s="10"/>
      <c r="I160" s="10"/>
      <c r="J160" s="10"/>
      <c r="K160" s="10"/>
      <c r="L160" s="10"/>
    </row>
    <row r="161" customFormat="false" ht="15" hidden="false" customHeight="false" outlineLevel="0" collapsed="false">
      <c r="A161" s="9" t="s">
        <v>377</v>
      </c>
      <c r="B161" s="9" t="s">
        <v>378</v>
      </c>
      <c r="C161" s="10" t="n">
        <v>0</v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5</v>
      </c>
      <c r="L161" s="10"/>
    </row>
    <row r="162" customFormat="false" ht="15" hidden="false" customHeight="false" outlineLevel="0" collapsed="false">
      <c r="A162" s="9" t="s">
        <v>379</v>
      </c>
      <c r="B162" s="9" t="s">
        <v>380</v>
      </c>
      <c r="C162" s="10" t="n">
        <v>0</v>
      </c>
      <c r="D162" s="10" t="n">
        <v>0</v>
      </c>
      <c r="E162" s="10" t="n">
        <v>0</v>
      </c>
      <c r="F162" s="10" t="n">
        <v>14747</v>
      </c>
      <c r="G162" s="10"/>
      <c r="H162" s="10"/>
      <c r="I162" s="10"/>
      <c r="J162" s="10"/>
      <c r="K162" s="10"/>
      <c r="L162" s="10"/>
    </row>
    <row r="163" customFormat="false" ht="15" hidden="false" customHeight="false" outlineLevel="0" collapsed="false">
      <c r="A163" s="9" t="s">
        <v>381</v>
      </c>
      <c r="B163" s="9" t="s">
        <v>382</v>
      </c>
      <c r="C163" s="10" t="n">
        <v>0</v>
      </c>
      <c r="D163" s="10" t="n">
        <v>4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/>
    </row>
    <row r="164" customFormat="false" ht="15" hidden="false" customHeight="false" outlineLevel="0" collapsed="false">
      <c r="A164" s="9" t="s">
        <v>383</v>
      </c>
      <c r="B164" s="9" t="s">
        <v>384</v>
      </c>
      <c r="C164" s="10" t="n">
        <v>15</v>
      </c>
      <c r="D164" s="10" t="n">
        <v>22</v>
      </c>
      <c r="E164" s="10"/>
      <c r="F164" s="10"/>
      <c r="G164" s="10"/>
      <c r="H164" s="10"/>
      <c r="I164" s="10"/>
      <c r="J164" s="10"/>
      <c r="K164" s="10" t="n">
        <v>55</v>
      </c>
      <c r="L164" s="10"/>
    </row>
    <row r="165" customFormat="false" ht="15" hidden="false" customHeight="false" outlineLevel="0" collapsed="false">
      <c r="A165" s="9" t="s">
        <v>385</v>
      </c>
      <c r="B165" s="9" t="s">
        <v>386</v>
      </c>
      <c r="C165" s="10" t="n">
        <v>0</v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1</v>
      </c>
      <c r="K165" s="10"/>
      <c r="L165" s="10"/>
    </row>
    <row r="167" customFormat="false" ht="15" hidden="false" customHeight="false" outlineLevel="0" collapsed="false">
      <c r="A167" s="6" t="s">
        <v>387</v>
      </c>
    </row>
    <row r="168" customFormat="false" ht="15" hidden="false" customHeight="false" outlineLevel="0" collapsed="false">
      <c r="A168" s="6" t="s">
        <v>388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12" min="3" style="0" width="11"/>
  </cols>
  <sheetData>
    <row r="1" customFormat="false" ht="16.15" hidden="false" customHeight="false" outlineLevel="0" collapsed="false">
      <c r="A1" s="1" t="s">
        <v>389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</row>
    <row r="5" customFormat="false" ht="15" hidden="false" customHeight="false" outlineLevel="0" collapsed="false">
      <c r="A5" s="4" t="str">
        <f aca="false">TradeMap_Datos!A6</f>
        <v>764</v>
      </c>
      <c r="B5" s="4" t="str">
        <f aca="false">TradeMap_Datos!B6</f>
        <v>Tailandia</v>
      </c>
      <c r="C5" s="11" t="n">
        <f aca="false">IF(TradeMap_Datos!C6="",0,TradeMap_Datos!C6/TradeMap_Datos!C$5)</f>
        <v>0.134910301748173</v>
      </c>
      <c r="D5" s="11" t="n">
        <f aca="false">IF(TradeMap_Datos!D6="",0,TradeMap_Datos!D6/TradeMap_Datos!D$5)</f>
        <v>0.185050687862911</v>
      </c>
      <c r="E5" s="11" t="n">
        <f aca="false">IF(TradeMap_Datos!E6="",0,TradeMap_Datos!E6/TradeMap_Datos!E$5)</f>
        <v>0.161901788693516</v>
      </c>
      <c r="F5" s="11" t="n">
        <f aca="false">IF(TradeMap_Datos!F6="",0,TradeMap_Datos!F6/TradeMap_Datos!F$5)</f>
        <v>0.176933638938499</v>
      </c>
      <c r="G5" s="11" t="n">
        <f aca="false">IF(TradeMap_Datos!G6="",0,TradeMap_Datos!G6/TradeMap_Datos!G$5)</f>
        <v>0.157503426139237</v>
      </c>
      <c r="H5" s="11" t="n">
        <f aca="false">IF(TradeMap_Datos!H6="",0,TradeMap_Datos!H6/TradeMap_Datos!H$5)</f>
        <v>0.187797360320427</v>
      </c>
      <c r="I5" s="11" t="n">
        <f aca="false">IF(TradeMap_Datos!I6="",0,TradeMap_Datos!I6/TradeMap_Datos!I$5)</f>
        <v>0.171083157087081</v>
      </c>
      <c r="J5" s="11" t="n">
        <f aca="false">IF(TradeMap_Datos!J6="",0,TradeMap_Datos!J6/TradeMap_Datos!J$5)</f>
        <v>0.155533032166027</v>
      </c>
      <c r="K5" s="11" t="n">
        <f aca="false">IF(TradeMap_Datos!K6="",0,TradeMap_Datos!K6/TradeMap_Datos!K$5)</f>
        <v>0.1677036609788</v>
      </c>
      <c r="L5" s="11" t="n">
        <f aca="false">IF(TradeMap_Datos!L6="",0,TradeMap_Datos!L6/TradeMap_Datos!L$5)</f>
        <v>0.204499588558659</v>
      </c>
    </row>
    <row r="6" customFormat="false" ht="15" hidden="false" customHeight="false" outlineLevel="0" collapsed="false">
      <c r="A6" s="4" t="str">
        <f aca="false">TradeMap_Datos!A7</f>
        <v>528</v>
      </c>
      <c r="B6" s="4" t="str">
        <f aca="false">TradeMap_Datos!B7</f>
        <v>Países Bajos</v>
      </c>
      <c r="C6" s="11" t="n">
        <f aca="false">IF(TradeMap_Datos!C7="",0,TradeMap_Datos!C7/TradeMap_Datos!C$5)</f>
        <v>0.0712276119730173</v>
      </c>
      <c r="D6" s="11" t="n">
        <f aca="false">IF(TradeMap_Datos!D7="",0,TradeMap_Datos!D7/TradeMap_Datos!D$5)</f>
        <v>0.0616867808151442</v>
      </c>
      <c r="E6" s="11" t="n">
        <f aca="false">IF(TradeMap_Datos!E7="",0,TradeMap_Datos!E7/TradeMap_Datos!E$5)</f>
        <v>0.0724332399720927</v>
      </c>
      <c r="F6" s="11" t="n">
        <f aca="false">IF(TradeMap_Datos!F7="",0,TradeMap_Datos!F7/TradeMap_Datos!F$5)</f>
        <v>0.0661066656881058</v>
      </c>
      <c r="G6" s="11" t="n">
        <f aca="false">IF(TradeMap_Datos!G7="",0,TradeMap_Datos!G7/TradeMap_Datos!G$5)</f>
        <v>0.0846525708604077</v>
      </c>
      <c r="H6" s="11" t="n">
        <f aca="false">IF(TradeMap_Datos!H7="",0,TradeMap_Datos!H7/TradeMap_Datos!H$5)</f>
        <v>0.0736981087626093</v>
      </c>
      <c r="I6" s="11" t="n">
        <f aca="false">IF(TradeMap_Datos!I7="",0,TradeMap_Datos!I7/TradeMap_Datos!I$5)</f>
        <v>0.0830599746884901</v>
      </c>
      <c r="J6" s="11" t="n">
        <f aca="false">IF(TradeMap_Datos!J7="",0,TradeMap_Datos!J7/TradeMap_Datos!J$5)</f>
        <v>0.0868179749329167</v>
      </c>
      <c r="K6" s="11" t="n">
        <f aca="false">IF(TradeMap_Datos!K7="",0,TradeMap_Datos!K7/TradeMap_Datos!K$5)</f>
        <v>0.0846579737234443</v>
      </c>
      <c r="L6" s="11" t="n">
        <f aca="false">IF(TradeMap_Datos!L7="",0,TradeMap_Datos!L7/TradeMap_Datos!L$5)</f>
        <v>0.121914384680984</v>
      </c>
    </row>
    <row r="7" customFormat="false" ht="15" hidden="false" customHeight="false" outlineLevel="0" collapsed="false">
      <c r="A7" s="4" t="str">
        <f aca="false">TradeMap_Datos!A8</f>
        <v>218</v>
      </c>
      <c r="B7" s="4" t="str">
        <f aca="false">TradeMap_Datos!B8</f>
        <v>Ecuador</v>
      </c>
      <c r="C7" s="11" t="n">
        <f aca="false">IF(TradeMap_Datos!C8="",0,TradeMap_Datos!C8/TradeMap_Datos!C$5)</f>
        <v>0.0033216883712003</v>
      </c>
      <c r="D7" s="11" t="n">
        <f aca="false">IF(TradeMap_Datos!D8="",0,TradeMap_Datos!D8/TradeMap_Datos!D$5)</f>
        <v>0.00426497706253847</v>
      </c>
      <c r="E7" s="11" t="n">
        <f aca="false">IF(TradeMap_Datos!E8="",0,TradeMap_Datos!E8/TradeMap_Datos!E$5)</f>
        <v>0.00965682160588075</v>
      </c>
      <c r="F7" s="11" t="n">
        <f aca="false">IF(TradeMap_Datos!F8="",0,TradeMap_Datos!F8/TradeMap_Datos!F$5)</f>
        <v>0.015588159743461</v>
      </c>
      <c r="G7" s="11" t="n">
        <f aca="false">IF(TradeMap_Datos!G8="",0,TradeMap_Datos!G8/TradeMap_Datos!G$5)</f>
        <v>0.0231642754718424</v>
      </c>
      <c r="H7" s="11" t="n">
        <f aca="false">IF(TradeMap_Datos!H8="",0,TradeMap_Datos!H8/TradeMap_Datos!H$5)</f>
        <v>0.0223280846983412</v>
      </c>
      <c r="I7" s="11" t="n">
        <f aca="false">IF(TradeMap_Datos!I8="",0,TradeMap_Datos!I8/TradeMap_Datos!I$5)</f>
        <v>0.0344683875095909</v>
      </c>
      <c r="J7" s="11" t="n">
        <f aca="false">IF(TradeMap_Datos!J8="",0,TradeMap_Datos!J8/TradeMap_Datos!J$5)</f>
        <v>0.0507830576407051</v>
      </c>
      <c r="K7" s="11" t="n">
        <f aca="false">IF(TradeMap_Datos!K8="",0,TradeMap_Datos!K8/TradeMap_Datos!K$5)</f>
        <v>0.0597934173122429</v>
      </c>
      <c r="L7" s="11" t="n">
        <f aca="false">IF(TradeMap_Datos!L8="",0,TradeMap_Datos!L8/TradeMap_Datos!L$5)</f>
        <v>0.106555361995159</v>
      </c>
    </row>
    <row r="8" customFormat="false" ht="15" hidden="false" customHeight="false" outlineLevel="0" collapsed="false">
      <c r="A8" s="4" t="str">
        <f aca="false">TradeMap_Datos!A9</f>
        <v>156</v>
      </c>
      <c r="B8" s="4" t="str">
        <f aca="false">TradeMap_Datos!B9</f>
        <v>China</v>
      </c>
      <c r="C8" s="11" t="n">
        <f aca="false">IF(TradeMap_Datos!C9="",0,TradeMap_Datos!C9/TradeMap_Datos!C$5)</f>
        <v>0.0545558410954687</v>
      </c>
      <c r="D8" s="11" t="n">
        <f aca="false">IF(TradeMap_Datos!D9="",0,TradeMap_Datos!D9/TradeMap_Datos!D$5)</f>
        <v>0.0330011896011275</v>
      </c>
      <c r="E8" s="11" t="n">
        <f aca="false">IF(TradeMap_Datos!E9="",0,TradeMap_Datos!E9/TradeMap_Datos!E$5)</f>
        <v>0.0404455555667904</v>
      </c>
      <c r="F8" s="11" t="n">
        <f aca="false">IF(TradeMap_Datos!F9="",0,TradeMap_Datos!F9/TradeMap_Datos!F$5)</f>
        <v>0.0551196932301672</v>
      </c>
      <c r="G8" s="11" t="n">
        <f aca="false">IF(TradeMap_Datos!G9="",0,TradeMap_Datos!G9/TradeMap_Datos!G$5)</f>
        <v>0.0626802894078497</v>
      </c>
      <c r="H8" s="11" t="n">
        <f aca="false">IF(TradeMap_Datos!H9="",0,TradeMap_Datos!H9/TradeMap_Datos!H$5)</f>
        <v>0.0563577724719642</v>
      </c>
      <c r="I8" s="11" t="n">
        <f aca="false">IF(TradeMap_Datos!I9="",0,TradeMap_Datos!I9/TradeMap_Datos!I$5)</f>
        <v>0.0572609208972845</v>
      </c>
      <c r="J8" s="11" t="n">
        <f aca="false">IF(TradeMap_Datos!J9="",0,TradeMap_Datos!J9/TradeMap_Datos!J$5)</f>
        <v>0.0600235046363914</v>
      </c>
      <c r="K8" s="11" t="n">
        <f aca="false">IF(TradeMap_Datos!K9="",0,TradeMap_Datos!K9/TradeMap_Datos!K$5)</f>
        <v>0.0646602429622223</v>
      </c>
      <c r="L8" s="11" t="n">
        <f aca="false">IF(TradeMap_Datos!L9="",0,TradeMap_Datos!L9/TradeMap_Datos!L$5)</f>
        <v>0.0783523900831576</v>
      </c>
    </row>
    <row r="9" customFormat="false" ht="15" hidden="false" customHeight="false" outlineLevel="0" collapsed="false">
      <c r="A9" s="4" t="str">
        <f aca="false">TradeMap_Datos!A10</f>
        <v>792</v>
      </c>
      <c r="B9" s="4" t="str">
        <f aca="false">TradeMap_Datos!B10</f>
        <v>Türkiye</v>
      </c>
      <c r="C9" s="11" t="n">
        <f aca="false">IF(TradeMap_Datos!C10="",0,TradeMap_Datos!C10/TradeMap_Datos!C$5)</f>
        <v>0.0338576435043747</v>
      </c>
      <c r="D9" s="11" t="n">
        <f aca="false">IF(TradeMap_Datos!D10="",0,TradeMap_Datos!D10/TradeMap_Datos!D$5)</f>
        <v>0.025389464554244</v>
      </c>
      <c r="E9" s="11" t="n">
        <f aca="false">IF(TradeMap_Datos!E10="",0,TradeMap_Datos!E10/TradeMap_Datos!E$5)</f>
        <v>0.0290773920868765</v>
      </c>
      <c r="F9" s="11" t="n">
        <f aca="false">IF(TradeMap_Datos!F10="",0,TradeMap_Datos!F10/TradeMap_Datos!F$5)</f>
        <v>0.0221000171773456</v>
      </c>
      <c r="G9" s="11" t="n">
        <f aca="false">IF(TradeMap_Datos!G10="",0,TradeMap_Datos!G10/TradeMap_Datos!G$5)</f>
        <v>0.0315119828016933</v>
      </c>
      <c r="H9" s="11" t="n">
        <f aca="false">IF(TradeMap_Datos!H10="",0,TradeMap_Datos!H10/TradeMap_Datos!H$5)</f>
        <v>0.0301235549906372</v>
      </c>
      <c r="I9" s="11" t="n">
        <f aca="false">IF(TradeMap_Datos!I10="",0,TradeMap_Datos!I10/TradeMap_Datos!I$5)</f>
        <v>0.033744716151518</v>
      </c>
      <c r="J9" s="11" t="n">
        <f aca="false">IF(TradeMap_Datos!J10="",0,TradeMap_Datos!J10/TradeMap_Datos!J$5)</f>
        <v>0.0371223803539282</v>
      </c>
      <c r="K9" s="11" t="n">
        <f aca="false">IF(TradeMap_Datos!K10="",0,TradeMap_Datos!K10/TradeMap_Datos!K$5)</f>
        <v>0.0419921867496433</v>
      </c>
      <c r="L9" s="11" t="n">
        <f aca="false">IF(TradeMap_Datos!L10="",0,TradeMap_Datos!L10/TradeMap_Datos!L$5)</f>
        <v>0.0524024528820991</v>
      </c>
    </row>
    <row r="10" customFormat="false" ht="15" hidden="false" customHeight="false" outlineLevel="0" collapsed="false">
      <c r="A10" s="4" t="str">
        <f aca="false">TradeMap_Datos!A11</f>
        <v>818</v>
      </c>
      <c r="B10" s="4" t="str">
        <f aca="false">TradeMap_Datos!B11</f>
        <v>Egipto</v>
      </c>
      <c r="C10" s="11" t="n">
        <f aca="false">IF(TradeMap_Datos!C11="",0,TradeMap_Datos!C11/TradeMap_Datos!C$5)</f>
        <v>0.0415110369493988</v>
      </c>
      <c r="D10" s="11" t="n">
        <f aca="false">IF(TradeMap_Datos!D11="",0,TradeMap_Datos!D11/TradeMap_Datos!D$5)</f>
        <v>0.0255288036641489</v>
      </c>
      <c r="E10" s="11" t="n">
        <f aca="false">IF(TradeMap_Datos!E11="",0,TradeMap_Datos!E11/TradeMap_Datos!E$5)</f>
        <v>0.0194357374695396</v>
      </c>
      <c r="F10" s="11" t="n">
        <f aca="false">IF(TradeMap_Datos!F11="",0,TradeMap_Datos!F11/TradeMap_Datos!F$5)</f>
        <v>0.0164546814120183</v>
      </c>
      <c r="G10" s="11" t="n">
        <f aca="false">IF(TradeMap_Datos!G11="",0,TradeMap_Datos!G11/TradeMap_Datos!G$5)</f>
        <v>0.0168891230608227</v>
      </c>
      <c r="H10" s="11" t="n">
        <f aca="false">IF(TradeMap_Datos!H11="",0,TradeMap_Datos!H11/TradeMap_Datos!H$5)</f>
        <v>0.0161044280851014</v>
      </c>
      <c r="I10" s="11" t="n">
        <f aca="false">IF(TradeMap_Datos!I11="",0,TradeMap_Datos!I11/TradeMap_Datos!I$5)</f>
        <v>0.0373140920557533</v>
      </c>
      <c r="J10" s="11" t="n">
        <f aca="false">IF(TradeMap_Datos!J11="",0,TradeMap_Datos!J11/TradeMap_Datos!J$5)</f>
        <v>0.0398228321048877</v>
      </c>
      <c r="K10" s="11" t="n">
        <f aca="false">IF(TradeMap_Datos!K11="",0,TradeMap_Datos!K11/TradeMap_Datos!K$5)</f>
        <v>0.0439300039724485</v>
      </c>
      <c r="L10" s="11" t="n">
        <f aca="false">IF(TradeMap_Datos!L11="",0,TradeMap_Datos!L11/TradeMap_Datos!L$5)</f>
        <v>0.0523379558298013</v>
      </c>
    </row>
    <row r="11" customFormat="false" ht="15" hidden="false" customHeight="false" outlineLevel="0" collapsed="false">
      <c r="A11" s="4" t="str">
        <f aca="false">TradeMap_Datos!A12</f>
        <v>724</v>
      </c>
      <c r="B11" s="4" t="str">
        <f aca="false">TradeMap_Datos!B12</f>
        <v>España</v>
      </c>
      <c r="C11" s="11" t="n">
        <f aca="false">IF(TradeMap_Datos!C12="",0,TradeMap_Datos!C12/TradeMap_Datos!C$5)</f>
        <v>0.029009238567569</v>
      </c>
      <c r="D11" s="11" t="n">
        <f aca="false">IF(TradeMap_Datos!D12="",0,TradeMap_Datos!D12/TradeMap_Datos!D$5)</f>
        <v>0.030969030447683</v>
      </c>
      <c r="E11" s="11" t="n">
        <f aca="false">IF(TradeMap_Datos!E12="",0,TradeMap_Datos!E12/TradeMap_Datos!E$5)</f>
        <v>0.0232244512077979</v>
      </c>
      <c r="F11" s="11" t="n">
        <f aca="false">IF(TradeMap_Datos!F12="",0,TradeMap_Datos!F12/TradeMap_Datos!F$5)</f>
        <v>0.0216452565199058</v>
      </c>
      <c r="G11" s="11" t="n">
        <f aca="false">IF(TradeMap_Datos!G12="",0,TradeMap_Datos!G12/TradeMap_Datos!G$5)</f>
        <v>0.0219637832775411</v>
      </c>
      <c r="H11" s="11" t="n">
        <f aca="false">IF(TradeMap_Datos!H12="",0,TradeMap_Datos!H12/TradeMap_Datos!H$5)</f>
        <v>0.0225226859359961</v>
      </c>
      <c r="I11" s="11" t="n">
        <f aca="false">IF(TradeMap_Datos!I12="",0,TradeMap_Datos!I12/TradeMap_Datos!I$5)</f>
        <v>0.024805562869657</v>
      </c>
      <c r="J11" s="11" t="n">
        <f aca="false">IF(TradeMap_Datos!J12="",0,TradeMap_Datos!J12/TradeMap_Datos!J$5)</f>
        <v>0.0255146224652695</v>
      </c>
      <c r="K11" s="11" t="n">
        <f aca="false">IF(TradeMap_Datos!K12="",0,TradeMap_Datos!K12/TradeMap_Datos!K$5)</f>
        <v>0.0300274588137004</v>
      </c>
      <c r="L11" s="11" t="n">
        <f aca="false">IF(TradeMap_Datos!L12="",0,TradeMap_Datos!L12/TradeMap_Datos!L$5)</f>
        <v>0.0440318571817156</v>
      </c>
    </row>
    <row r="12" customFormat="false" ht="15" hidden="false" customHeight="false" outlineLevel="0" collapsed="false">
      <c r="A12" s="4" t="str">
        <f aca="false">TradeMap_Datos!A13</f>
        <v>604</v>
      </c>
      <c r="B12" s="4" t="str">
        <f aca="false">TradeMap_Datos!B13</f>
        <v>Perú</v>
      </c>
      <c r="C12" s="11" t="n">
        <f aca="false">IF(TradeMap_Datos!C13="",0,TradeMap_Datos!C13/TradeMap_Datos!C$5)</f>
        <v>0.0133737902939019</v>
      </c>
      <c r="D12" s="11" t="n">
        <f aca="false">IF(TradeMap_Datos!D13="",0,TradeMap_Datos!D13/TradeMap_Datos!D$5)</f>
        <v>0.0156336393835993</v>
      </c>
      <c r="E12" s="11" t="n">
        <f aca="false">IF(TradeMap_Datos!E13="",0,TradeMap_Datos!E13/TradeMap_Datos!E$5)</f>
        <v>0.0179925985095906</v>
      </c>
      <c r="F12" s="11" t="n">
        <f aca="false">IF(TradeMap_Datos!F13="",0,TradeMap_Datos!F13/TradeMap_Datos!F$5)</f>
        <v>0.0153558265758976</v>
      </c>
      <c r="G12" s="11" t="n">
        <f aca="false">IF(TradeMap_Datos!G13="",0,TradeMap_Datos!G13/TradeMap_Datos!G$5)</f>
        <v>0.0159435761170289</v>
      </c>
      <c r="H12" s="11" t="n">
        <f aca="false">IF(TradeMap_Datos!H13="",0,TradeMap_Datos!H13/TradeMap_Datos!H$5)</f>
        <v>0.0187018731432825</v>
      </c>
      <c r="I12" s="11" t="n">
        <f aca="false">IF(TradeMap_Datos!I13="",0,TradeMap_Datos!I13/TradeMap_Datos!I$5)</f>
        <v>0.0236073714817992</v>
      </c>
      <c r="J12" s="11" t="n">
        <f aca="false">IF(TradeMap_Datos!J13="",0,TradeMap_Datos!J13/TradeMap_Datos!J$5)</f>
        <v>0.024122550185116</v>
      </c>
      <c r="K12" s="11" t="n">
        <f aca="false">IF(TradeMap_Datos!K13="",0,TradeMap_Datos!K13/TradeMap_Datos!K$5)</f>
        <v>0.022698534701809</v>
      </c>
      <c r="L12" s="11" t="n">
        <f aca="false">IF(TradeMap_Datos!L13="",0,TradeMap_Datos!L13/TradeMap_Datos!L$5)</f>
        <v>0.0379389110093353</v>
      </c>
    </row>
    <row r="13" customFormat="false" ht="15" hidden="false" customHeight="false" outlineLevel="0" collapsed="false">
      <c r="A13" s="4" t="str">
        <f aca="false">TradeMap_Datos!A14</f>
        <v>699</v>
      </c>
      <c r="B13" s="4" t="str">
        <f aca="false">TradeMap_Datos!B14</f>
        <v>India</v>
      </c>
      <c r="C13" s="11" t="n">
        <f aca="false">IF(TradeMap_Datos!C14="",0,TradeMap_Datos!C14/TradeMap_Datos!C$5)</f>
        <v>0.0263913142460745</v>
      </c>
      <c r="D13" s="11" t="n">
        <f aca="false">IF(TradeMap_Datos!D14="",0,TradeMap_Datos!D14/TradeMap_Datos!D$5)</f>
        <v>0.0285663440731431</v>
      </c>
      <c r="E13" s="11" t="n">
        <f aca="false">IF(TradeMap_Datos!E14="",0,TradeMap_Datos!E14/TradeMap_Datos!E$5)</f>
        <v>0.0248945894296201</v>
      </c>
      <c r="F13" s="11" t="n">
        <f aca="false">IF(TradeMap_Datos!F14="",0,TradeMap_Datos!F14/TradeMap_Datos!F$5)</f>
        <v>0.0257838036316466</v>
      </c>
      <c r="G13" s="11" t="n">
        <f aca="false">IF(TradeMap_Datos!G14="",0,TradeMap_Datos!G14/TradeMap_Datos!G$5)</f>
        <v>0.0224646757108911</v>
      </c>
      <c r="H13" s="11" t="n">
        <f aca="false">IF(TradeMap_Datos!H14="",0,TradeMap_Datos!H14/TradeMap_Datos!H$5)</f>
        <v>0.0214547304672087</v>
      </c>
      <c r="I13" s="11" t="n">
        <f aca="false">IF(TradeMap_Datos!I14="",0,TradeMap_Datos!I14/TradeMap_Datos!I$5)</f>
        <v>0.0221082166144298</v>
      </c>
      <c r="J13" s="11" t="n">
        <f aca="false">IF(TradeMap_Datos!J14="",0,TradeMap_Datos!J14/TradeMap_Datos!J$5)</f>
        <v>0.0214911178288781</v>
      </c>
      <c r="K13" s="11" t="n">
        <f aca="false">IF(TradeMap_Datos!K14="",0,TradeMap_Datos!K14/TradeMap_Datos!K$5)</f>
        <v>0.0242782937066018</v>
      </c>
      <c r="L13" s="11" t="n">
        <f aca="false">IF(TradeMap_Datos!L14="",0,TradeMap_Datos!L14/TradeMap_Datos!L$5)</f>
        <v>0.0371291146860411</v>
      </c>
    </row>
    <row r="14" customFormat="false" ht="15" hidden="false" customHeight="false" outlineLevel="0" collapsed="false">
      <c r="A14" s="4" t="str">
        <f aca="false">TradeMap_Datos!A15</f>
        <v>170</v>
      </c>
      <c r="B14" s="4" t="str">
        <f aca="false">TradeMap_Datos!B15</f>
        <v>Colombia</v>
      </c>
      <c r="C14" s="11" t="n">
        <f aca="false">IF(TradeMap_Datos!C15="",0,TradeMap_Datos!C15/TradeMap_Datos!C$5)</f>
        <v>0.0185258497699208</v>
      </c>
      <c r="D14" s="11" t="n">
        <f aca="false">IF(TradeMap_Datos!D15="",0,TradeMap_Datos!D15/TradeMap_Datos!D$5)</f>
        <v>0.0161886474112542</v>
      </c>
      <c r="E14" s="11" t="n">
        <f aca="false">IF(TradeMap_Datos!E15="",0,TradeMap_Datos!E15/TradeMap_Datos!E$5)</f>
        <v>0.0189241043893265</v>
      </c>
      <c r="F14" s="11" t="n">
        <f aca="false">IF(TradeMap_Datos!F15="",0,TradeMap_Datos!F15/TradeMap_Datos!F$5)</f>
        <v>0.0180546734874762</v>
      </c>
      <c r="G14" s="11" t="n">
        <f aca="false">IF(TradeMap_Datos!G15="",0,TradeMap_Datos!G15/TradeMap_Datos!G$5)</f>
        <v>0.0192286206537146</v>
      </c>
      <c r="H14" s="11" t="n">
        <f aca="false">IF(TradeMap_Datos!H15="",0,TradeMap_Datos!H15/TradeMap_Datos!H$5)</f>
        <v>0.0210630646850931</v>
      </c>
      <c r="I14" s="11" t="n">
        <f aca="false">IF(TradeMap_Datos!I15="",0,TradeMap_Datos!I15/TradeMap_Datos!I$5)</f>
        <v>0.027965820967783</v>
      </c>
      <c r="J14" s="11" t="n">
        <f aca="false">IF(TradeMap_Datos!J15="",0,TradeMap_Datos!J15/TradeMap_Datos!J$5)</f>
        <v>0.0268732719676641</v>
      </c>
      <c r="K14" s="11" t="n">
        <f aca="false">IF(TradeMap_Datos!K15="",0,TradeMap_Datos!K15/TradeMap_Datos!K$5)</f>
        <v>0.0272531479285</v>
      </c>
      <c r="L14" s="11" t="n">
        <f aca="false">IF(TradeMap_Datos!L15="",0,TradeMap_Datos!L15/TradeMap_Datos!L$5)</f>
        <v>0.0362837982469888</v>
      </c>
    </row>
    <row r="15" customFormat="false" ht="15" hidden="false" customHeight="false" outlineLevel="0" collapsed="false">
      <c r="A15" s="4" t="str">
        <f aca="false">TradeMap_Datos!A16</f>
        <v>842</v>
      </c>
      <c r="B15" s="4" t="str">
        <f aca="false">TradeMap_Datos!B16</f>
        <v>Estados Unidos de América</v>
      </c>
      <c r="C15" s="11" t="n">
        <f aca="false">IF(TradeMap_Datos!C16="",0,TradeMap_Datos!C16/TradeMap_Datos!C$5)</f>
        <v>0.0202464505707244</v>
      </c>
      <c r="D15" s="11" t="n">
        <f aca="false">IF(TradeMap_Datos!D16="",0,TradeMap_Datos!D16/TradeMap_Datos!D$5)</f>
        <v>0.0166293660566275</v>
      </c>
      <c r="E15" s="11" t="n">
        <f aca="false">IF(TradeMap_Datos!E16="",0,TradeMap_Datos!E16/TradeMap_Datos!E$5)</f>
        <v>0.0172013872738855</v>
      </c>
      <c r="F15" s="11" t="n">
        <f aca="false">IF(TradeMap_Datos!F16="",0,TradeMap_Datos!F16/TradeMap_Datos!F$5)</f>
        <v>0.0157061273595493</v>
      </c>
      <c r="G15" s="11" t="n">
        <f aca="false">IF(TradeMap_Datos!G16="",0,TradeMap_Datos!G16/TradeMap_Datos!G$5)</f>
        <v>0.0194653198225681</v>
      </c>
      <c r="H15" s="11" t="n">
        <f aca="false">IF(TradeMap_Datos!H16="",0,TradeMap_Datos!H16/TradeMap_Datos!H$5)</f>
        <v>0.0163700173461587</v>
      </c>
      <c r="I15" s="11" t="n">
        <f aca="false">IF(TradeMap_Datos!I16="",0,TradeMap_Datos!I16/TradeMap_Datos!I$5)</f>
        <v>0.0173131860509231</v>
      </c>
      <c r="J15" s="11" t="n">
        <f aca="false">IF(TradeMap_Datos!J16="",0,TradeMap_Datos!J16/TradeMap_Datos!J$5)</f>
        <v>0.0169293162596379</v>
      </c>
      <c r="K15" s="11" t="n">
        <f aca="false">IF(TradeMap_Datos!K16="",0,TradeMap_Datos!K16/TradeMap_Datos!K$5)</f>
        <v>0.018875661338395</v>
      </c>
      <c r="L15" s="11" t="n">
        <f aca="false">IF(TradeMap_Datos!L16="",0,TradeMap_Datos!L16/TradeMap_Datos!L$5)</f>
        <v>0.0234071331247202</v>
      </c>
    </row>
    <row r="16" customFormat="false" ht="15" hidden="false" customHeight="false" outlineLevel="0" collapsed="false">
      <c r="A16" s="4" t="str">
        <f aca="false">TradeMap_Datos!A17</f>
        <v>056</v>
      </c>
      <c r="B16" s="4" t="str">
        <f aca="false">TradeMap_Datos!B17</f>
        <v>Bélgica</v>
      </c>
      <c r="C16" s="11" t="n">
        <f aca="false">IF(TradeMap_Datos!C17="",0,TradeMap_Datos!C17/TradeMap_Datos!C$5)</f>
        <v>0.0172768066064835</v>
      </c>
      <c r="D16" s="11" t="n">
        <f aca="false">IF(TradeMap_Datos!D17="",0,TradeMap_Datos!D17/TradeMap_Datos!D$5)</f>
        <v>0.00886447236271379</v>
      </c>
      <c r="E16" s="11" t="n">
        <f aca="false">IF(TradeMap_Datos!E17="",0,TradeMap_Datos!E17/TradeMap_Datos!E$5)</f>
        <v>0.0164695800766439</v>
      </c>
      <c r="F16" s="11" t="n">
        <f aca="false">IF(TradeMap_Datos!F17="",0,TradeMap_Datos!F17/TradeMap_Datos!F$5)</f>
        <v>0.0329627184061224</v>
      </c>
      <c r="G16" s="11" t="n">
        <f aca="false">IF(TradeMap_Datos!G17="",0,TradeMap_Datos!G17/TradeMap_Datos!G$5)</f>
        <v>0.0116444993437659</v>
      </c>
      <c r="H16" s="11" t="n">
        <f aca="false">IF(TradeMap_Datos!H17="",0,TradeMap_Datos!H17/TradeMap_Datos!H$5)</f>
        <v>0.00991794501093036</v>
      </c>
      <c r="I16" s="11" t="n">
        <f aca="false">IF(TradeMap_Datos!I17="",0,TradeMap_Datos!I17/TradeMap_Datos!I$5)</f>
        <v>0.0144601202155159</v>
      </c>
      <c r="J16" s="11" t="n">
        <f aca="false">IF(TradeMap_Datos!J17="",0,TradeMap_Datos!J17/TradeMap_Datos!J$5)</f>
        <v>0.0118517713392887</v>
      </c>
      <c r="K16" s="11" t="n">
        <f aca="false">IF(TradeMap_Datos!K17="",0,TradeMap_Datos!K17/TradeMap_Datos!K$5)</f>
        <v>0.0144882956198313</v>
      </c>
      <c r="L16" s="11" t="n">
        <f aca="false">IF(TradeMap_Datos!L17="",0,TradeMap_Datos!L17/TradeMap_Datos!L$5)</f>
        <v>0.0182585858195597</v>
      </c>
    </row>
    <row r="17" customFormat="false" ht="15" hidden="false" customHeight="false" outlineLevel="0" collapsed="false">
      <c r="A17" s="4" t="str">
        <f aca="false">TradeMap_Datos!A18</f>
        <v>484</v>
      </c>
      <c r="B17" s="4" t="str">
        <f aca="false">TradeMap_Datos!B18</f>
        <v>México</v>
      </c>
      <c r="C17" s="11" t="n">
        <f aca="false">IF(TradeMap_Datos!C18="",0,TradeMap_Datos!C18/TradeMap_Datos!C$5)</f>
        <v>0.00714124028102497</v>
      </c>
      <c r="D17" s="11" t="n">
        <f aca="false">IF(TradeMap_Datos!D18="",0,TradeMap_Datos!D18/TradeMap_Datos!D$5)</f>
        <v>0.00729729877827782</v>
      </c>
      <c r="E17" s="11" t="n">
        <f aca="false">IF(TradeMap_Datos!E18="",0,TradeMap_Datos!E18/TradeMap_Datos!E$5)</f>
        <v>0.00650967148302814</v>
      </c>
      <c r="F17" s="11" t="n">
        <f aca="false">IF(TradeMap_Datos!F18="",0,TradeMap_Datos!F18/TradeMap_Datos!F$5)</f>
        <v>0.00642405710893341</v>
      </c>
      <c r="G17" s="11" t="n">
        <f aca="false">IF(TradeMap_Datos!G18="",0,TradeMap_Datos!G18/TradeMap_Datos!G$5)</f>
        <v>0.0109149060239314</v>
      </c>
      <c r="H17" s="11" t="n">
        <f aca="false">IF(TradeMap_Datos!H18="",0,TradeMap_Datos!H18/TradeMap_Datos!H$5)</f>
        <v>0.0132920035238724</v>
      </c>
      <c r="I17" s="11" t="n">
        <f aca="false">IF(TradeMap_Datos!I18="",0,TradeMap_Datos!I18/TradeMap_Datos!I$5)</f>
        <v>0.016697669019448</v>
      </c>
      <c r="J17" s="11" t="n">
        <f aca="false">IF(TradeMap_Datos!J18="",0,TradeMap_Datos!J18/TradeMap_Datos!J$5)</f>
        <v>0.0173994089874665</v>
      </c>
      <c r="K17" s="11" t="n">
        <f aca="false">IF(TradeMap_Datos!K18="",0,TradeMap_Datos!K18/TradeMap_Datos!K$5)</f>
        <v>0.0155993518070543</v>
      </c>
      <c r="L17" s="11" t="n">
        <f aca="false">IF(TradeMap_Datos!L18="",0,TradeMap_Datos!L18/TradeMap_Datos!L$5)</f>
        <v>0.0171979676262187</v>
      </c>
    </row>
    <row r="18" customFormat="false" ht="15" hidden="false" customHeight="false" outlineLevel="0" collapsed="false">
      <c r="A18" s="4" t="str">
        <f aca="false">TradeMap_Datos!A19</f>
        <v>251</v>
      </c>
      <c r="B18" s="4" t="str">
        <f aca="false">TradeMap_Datos!B19</f>
        <v>Francia</v>
      </c>
      <c r="C18" s="11" t="n">
        <f aca="false">IF(TradeMap_Datos!C19="",0,TradeMap_Datos!C19/TradeMap_Datos!C$5)</f>
        <v>0.00496434576086897</v>
      </c>
      <c r="D18" s="11" t="n">
        <f aca="false">IF(TradeMap_Datos!D19="",0,TradeMap_Datos!D19/TradeMap_Datos!D$5)</f>
        <v>0.00682396330006155</v>
      </c>
      <c r="E18" s="11" t="n">
        <f aca="false">IF(TradeMap_Datos!E19="",0,TradeMap_Datos!E19/TradeMap_Datos!E$5)</f>
        <v>0.00469165512290316</v>
      </c>
      <c r="F18" s="11" t="n">
        <f aca="false">IF(TradeMap_Datos!F19="",0,TradeMap_Datos!F19/TradeMap_Datos!F$5)</f>
        <v>0.00557284421498292</v>
      </c>
      <c r="G18" s="11" t="n">
        <f aca="false">IF(TradeMap_Datos!G19="",0,TradeMap_Datos!G19/TradeMap_Datos!G$5)</f>
        <v>0.00552431365364288</v>
      </c>
      <c r="H18" s="11" t="n">
        <f aca="false">IF(TradeMap_Datos!H19="",0,TradeMap_Datos!H19/TradeMap_Datos!H$5)</f>
        <v>0.0078111458810599</v>
      </c>
      <c r="I18" s="11" t="n">
        <f aca="false">IF(TradeMap_Datos!I19="",0,TradeMap_Datos!I19/TradeMap_Datos!I$5)</f>
        <v>0.0071982083754484</v>
      </c>
      <c r="J18" s="11" t="n">
        <f aca="false">IF(TradeMap_Datos!J19="",0,TradeMap_Datos!J19/TradeMap_Datos!J$5)</f>
        <v>0.00945348323766176</v>
      </c>
      <c r="K18" s="11" t="n">
        <f aca="false">IF(TradeMap_Datos!K19="",0,TradeMap_Datos!K19/TradeMap_Datos!K$5)</f>
        <v>0.00905825822349338</v>
      </c>
      <c r="L18" s="11" t="n">
        <f aca="false">IF(TradeMap_Datos!L19="",0,TradeMap_Datos!L19/TradeMap_Datos!L$5)</f>
        <v>0.0143205266698427</v>
      </c>
    </row>
    <row r="19" customFormat="false" ht="15" hidden="false" customHeight="false" outlineLevel="0" collapsed="false">
      <c r="A19" s="4" t="str">
        <f aca="false">TradeMap_Datos!A20</f>
        <v>710</v>
      </c>
      <c r="B19" s="4" t="str">
        <f aca="false">TradeMap_Datos!B20</f>
        <v>Sudáfrica</v>
      </c>
      <c r="C19" s="11" t="n">
        <f aca="false">IF(TradeMap_Datos!C20="",0,TradeMap_Datos!C20/TradeMap_Datos!C$5)</f>
        <v>0.0168604588853378</v>
      </c>
      <c r="D19" s="11" t="n">
        <f aca="false">IF(TradeMap_Datos!D20="",0,TradeMap_Datos!D20/TradeMap_Datos!D$5)</f>
        <v>0.0138334511453336</v>
      </c>
      <c r="E19" s="11" t="n">
        <f aca="false">IF(TradeMap_Datos!E20="",0,TradeMap_Datos!E20/TradeMap_Datos!E$5)</f>
        <v>0.00848011607801899</v>
      </c>
      <c r="F19" s="11" t="n">
        <f aca="false">IF(TradeMap_Datos!F20="",0,TradeMap_Datos!F20/TradeMap_Datos!F$5)</f>
        <v>0.00750782829948556</v>
      </c>
      <c r="G19" s="11" t="n">
        <f aca="false">IF(TradeMap_Datos!G20="",0,TradeMap_Datos!G20/TradeMap_Datos!G$5)</f>
        <v>0.00835745523648796</v>
      </c>
      <c r="H19" s="11" t="n">
        <f aca="false">IF(TradeMap_Datos!H20="",0,TradeMap_Datos!H20/TradeMap_Datos!H$5)</f>
        <v>0.00775762494228024</v>
      </c>
      <c r="I19" s="11" t="n">
        <f aca="false">IF(TradeMap_Datos!I20="",0,TradeMap_Datos!I20/TradeMap_Datos!I$5)</f>
        <v>0.0116263069827491</v>
      </c>
      <c r="J19" s="11" t="n">
        <f aca="false">IF(TradeMap_Datos!J20="",0,TradeMap_Datos!J20/TradeMap_Datos!J$5)</f>
        <v>0.00766332665330661</v>
      </c>
      <c r="K19" s="11" t="n">
        <f aca="false">IF(TradeMap_Datos!K20="",0,TradeMap_Datos!K20/TradeMap_Datos!K$5)</f>
        <v>0.00905313578832869</v>
      </c>
      <c r="L19" s="11" t="n">
        <f aca="false">IF(TradeMap_Datos!L20="",0,TradeMap_Datos!L20/TradeMap_Datos!L$5)</f>
        <v>0.0138416282670328</v>
      </c>
    </row>
    <row r="20" customFormat="false" ht="15" hidden="false" customHeight="false" outlineLevel="0" collapsed="false">
      <c r="A20" s="4" t="str">
        <f aca="false">TradeMap_Datos!A21</f>
        <v>031</v>
      </c>
      <c r="B20" s="4" t="str">
        <f aca="false">TradeMap_Datos!B21</f>
        <v>Azerbaiyán</v>
      </c>
      <c r="C20" s="11" t="n">
        <f aca="false">IF(TradeMap_Datos!C21="",0,TradeMap_Datos!C21/TradeMap_Datos!C$5)</f>
        <v>0.00383676441311697</v>
      </c>
      <c r="D20" s="11" t="n">
        <f aca="false">IF(TradeMap_Datos!D21="",0,TradeMap_Datos!D21/TradeMap_Datos!D$5)</f>
        <v>0.00361211853635485</v>
      </c>
      <c r="E20" s="11" t="n">
        <f aca="false">IF(TradeMap_Datos!E21="",0,TradeMap_Datos!E21/TradeMap_Datos!E$5)</f>
        <v>0.00450990404351915</v>
      </c>
      <c r="F20" s="11" t="n">
        <f aca="false">IF(TradeMap_Datos!F21="",0,TradeMap_Datos!F21/TradeMap_Datos!F$5)</f>
        <v>0.0060402120985696</v>
      </c>
      <c r="G20" s="11" t="n">
        <f aca="false">IF(TradeMap_Datos!G21="",0,TradeMap_Datos!G21/TradeMap_Datos!G$5)</f>
        <v>0.00918202815945276</v>
      </c>
      <c r="H20" s="11" t="n">
        <f aca="false">IF(TradeMap_Datos!H21="",0,TradeMap_Datos!H21/TradeMap_Datos!H$5)</f>
        <v>0.00832866424725151</v>
      </c>
      <c r="I20" s="11" t="n">
        <f aca="false">IF(TradeMap_Datos!I21="",0,TradeMap_Datos!I21/TradeMap_Datos!I$5)</f>
        <v>0.0110807221991002</v>
      </c>
      <c r="J20" s="11" t="n">
        <f aca="false">IF(TradeMap_Datos!J21="",0,TradeMap_Datos!J21/TradeMap_Datos!J$5)</f>
        <v>0.0105512720355966</v>
      </c>
      <c r="K20" s="11" t="n">
        <f aca="false">IF(TradeMap_Datos!K21="",0,TradeMap_Datos!K21/TradeMap_Datos!K$5)</f>
        <v>0.00885694652152076</v>
      </c>
      <c r="L20" s="11" t="n">
        <f aca="false">IF(TradeMap_Datos!L21="",0,TradeMap_Datos!L21/TradeMap_Datos!L$5)</f>
        <v>0.0136512529097674</v>
      </c>
    </row>
    <row r="21" customFormat="false" ht="15" hidden="false" customHeight="false" outlineLevel="0" collapsed="false">
      <c r="A21" s="4" t="str">
        <f aca="false">TradeMap_Datos!A22</f>
        <v>040</v>
      </c>
      <c r="B21" s="4" t="str">
        <f aca="false">TradeMap_Datos!B22</f>
        <v>Austria</v>
      </c>
      <c r="C21" s="11" t="n">
        <f aca="false">IF(TradeMap_Datos!C22="",0,TradeMap_Datos!C22/TradeMap_Datos!C$5)</f>
        <v>0.00179432227716872</v>
      </c>
      <c r="D21" s="11" t="n">
        <f aca="false">IF(TradeMap_Datos!D22="",0,TradeMap_Datos!D22/TradeMap_Datos!D$5)</f>
        <v>0.00127649237013999</v>
      </c>
      <c r="E21" s="11" t="n">
        <f aca="false">IF(TradeMap_Datos!E22="",0,TradeMap_Datos!E22/TradeMap_Datos!E$5)</f>
        <v>0.00114106310478367</v>
      </c>
      <c r="F21" s="11" t="n">
        <f aca="false">IF(TradeMap_Datos!F22="",0,TradeMap_Datos!F22/TradeMap_Datos!F$5)</f>
        <v>0.000925280347563215</v>
      </c>
      <c r="G21" s="11" t="n">
        <f aca="false">IF(TradeMap_Datos!G22="",0,TradeMap_Datos!G22/TradeMap_Datos!G$5)</f>
        <v>0.00462125758493364</v>
      </c>
      <c r="H21" s="11" t="n">
        <f aca="false">IF(TradeMap_Datos!H22="",0,TradeMap_Datos!H22/TradeMap_Datos!H$5)</f>
        <v>0.00780935438520117</v>
      </c>
      <c r="I21" s="11" t="n">
        <f aca="false">IF(TradeMap_Datos!I22="",0,TradeMap_Datos!I22/TradeMap_Datos!I$5)</f>
        <v>0.00929589268372787</v>
      </c>
      <c r="J21" s="11" t="n">
        <f aca="false">IF(TradeMap_Datos!J22="",0,TradeMap_Datos!J22/TradeMap_Datos!J$5)</f>
        <v>0.00961516252844672</v>
      </c>
      <c r="K21" s="11" t="n">
        <f aca="false">IF(TradeMap_Datos!K22="",0,TradeMap_Datos!K22/TradeMap_Datos!K$5)</f>
        <v>0.0111996922440953</v>
      </c>
      <c r="L21" s="11" t="n">
        <f aca="false">IF(TradeMap_Datos!L22="",0,TradeMap_Datos!L22/TradeMap_Datos!L$5)</f>
        <v>0.0132178451815249</v>
      </c>
    </row>
    <row r="22" customFormat="false" ht="15" hidden="false" customHeight="false" outlineLevel="0" collapsed="false">
      <c r="A22" s="4" t="str">
        <f aca="false">TradeMap_Datos!A23</f>
        <v>116</v>
      </c>
      <c r="B22" s="4" t="str">
        <f aca="false">TradeMap_Datos!B23</f>
        <v>Camboya</v>
      </c>
      <c r="C22" s="11" t="n">
        <f aca="false">IF(TradeMap_Datos!C23="",0,TradeMap_Datos!C23/TradeMap_Datos!C$5)</f>
        <v>0</v>
      </c>
      <c r="D22" s="11" t="n">
        <f aca="false">IF(TradeMap_Datos!D23="",0,TradeMap_Datos!D23/TradeMap_Datos!D$5)</f>
        <v>2.76590742507848E-005</v>
      </c>
      <c r="E22" s="11" t="n">
        <f aca="false">IF(TradeMap_Datos!E23="",0,TradeMap_Datos!E23/TradeMap_Datos!E$5)</f>
        <v>0.000311428831434089</v>
      </c>
      <c r="F22" s="11" t="n">
        <f aca="false">IF(TradeMap_Datos!F23="",0,TradeMap_Datos!F23/TradeMap_Datos!F$5)</f>
        <v>0.000316081169824514</v>
      </c>
      <c r="G22" s="11" t="n">
        <f aca="false">IF(TradeMap_Datos!G23="",0,TradeMap_Datos!G23/TradeMap_Datos!G$5)</f>
        <v>0.000146718492203799</v>
      </c>
      <c r="H22" s="11" t="n">
        <f aca="false">IF(TradeMap_Datos!H23="",0,TradeMap_Datos!H23/TradeMap_Datos!H$5)</f>
        <v>4.99379470621931E-005</v>
      </c>
      <c r="I22" s="11" t="n">
        <f aca="false">IF(TradeMap_Datos!I23="",0,TradeMap_Datos!I23/TradeMap_Datos!I$5)</f>
        <v>0.00105068247645095</v>
      </c>
      <c r="J22" s="11" t="n">
        <f aca="false">IF(TradeMap_Datos!J23="",0,TradeMap_Datos!J23/TradeMap_Datos!J$5)</f>
        <v>0.00631581807683163</v>
      </c>
      <c r="K22" s="11" t="n">
        <f aca="false">IF(TradeMap_Datos!K23="",0,TradeMap_Datos!K23/TradeMap_Datos!K$5)</f>
        <v>0.00824814510219642</v>
      </c>
      <c r="L22" s="11" t="n">
        <f aca="false">IF(TradeMap_Datos!L23="",0,TradeMap_Datos!L23/TradeMap_Datos!L$5)</f>
        <v>0.0124579016522774</v>
      </c>
    </row>
    <row r="23" customFormat="false" ht="15" hidden="false" customHeight="false" outlineLevel="0" collapsed="false">
      <c r="A23" s="4" t="str">
        <f aca="false">TradeMap_Datos!A24</f>
        <v>300</v>
      </c>
      <c r="B23" s="4" t="str">
        <f aca="false">TradeMap_Datos!B24</f>
        <v>Grecia</v>
      </c>
      <c r="C23" s="11" t="n">
        <f aca="false">IF(TradeMap_Datos!C24="",0,TradeMap_Datos!C24/TradeMap_Datos!C$5)</f>
        <v>0.00467563037545666</v>
      </c>
      <c r="D23" s="11" t="n">
        <f aca="false">IF(TradeMap_Datos!D24="",0,TradeMap_Datos!D24/TradeMap_Datos!D$5)</f>
        <v>0.0037107518388718</v>
      </c>
      <c r="E23" s="11" t="n">
        <f aca="false">IF(TradeMap_Datos!E24="",0,TradeMap_Datos!E24/TradeMap_Datos!E$5)</f>
        <v>0.00348284613595689</v>
      </c>
      <c r="F23" s="11" t="n">
        <f aca="false">IF(TradeMap_Datos!F24="",0,TradeMap_Datos!F24/TradeMap_Datos!F$5)</f>
        <v>0.00375267594003193</v>
      </c>
      <c r="G23" s="11" t="n">
        <f aca="false">IF(TradeMap_Datos!G24="",0,TradeMap_Datos!G24/TradeMap_Datos!G$5)</f>
        <v>0.00464025350555968</v>
      </c>
      <c r="H23" s="11" t="n">
        <f aca="false">IF(TradeMap_Datos!H24="",0,TradeMap_Datos!H24/TradeMap_Datos!H$5)</f>
        <v>0.00384522192378887</v>
      </c>
      <c r="I23" s="11" t="n">
        <f aca="false">IF(TradeMap_Datos!I24="",0,TradeMap_Datos!I24/TradeMap_Datos!I$5)</f>
        <v>0.00556003839195468</v>
      </c>
      <c r="J23" s="11" t="n">
        <f aca="false">IF(TradeMap_Datos!J24="",0,TradeMap_Datos!J24/TradeMap_Datos!J$5)</f>
        <v>0.00721931999592405</v>
      </c>
      <c r="K23" s="11" t="n">
        <f aca="false">IF(TradeMap_Datos!K24="",0,TradeMap_Datos!K24/TradeMap_Datos!K$5)</f>
        <v>0.00733020472068258</v>
      </c>
      <c r="L23" s="11" t="n">
        <f aca="false">IF(TradeMap_Datos!L24="",0,TradeMap_Datos!L24/TradeMap_Datos!L$5)</f>
        <v>0.011356154903848</v>
      </c>
    </row>
    <row r="24" customFormat="false" ht="15" hidden="false" customHeight="false" outlineLevel="0" collapsed="false">
      <c r="A24" s="4" t="str">
        <f aca="false">TradeMap_Datos!A25</f>
        <v>276</v>
      </c>
      <c r="B24" s="4" t="str">
        <f aca="false">TradeMap_Datos!B25</f>
        <v>Alemania</v>
      </c>
      <c r="C24" s="11" t="n">
        <f aca="false">IF(TradeMap_Datos!C25="",0,TradeMap_Datos!C25/TradeMap_Datos!C$5)</f>
        <v>0.00453240935749622</v>
      </c>
      <c r="D24" s="11" t="n">
        <f aca="false">IF(TradeMap_Datos!D25="",0,TradeMap_Datos!D25/TradeMap_Datos!D$5)</f>
        <v>0.0033608384561331</v>
      </c>
      <c r="E24" s="11" t="n">
        <f aca="false">IF(TradeMap_Datos!E25="",0,TradeMap_Datos!E25/TradeMap_Datos!E$5)</f>
        <v>0.00395580339538317</v>
      </c>
      <c r="F24" s="11" t="n">
        <f aca="false">IF(TradeMap_Datos!F25="",0,TradeMap_Datos!F25/TradeMap_Datos!F$5)</f>
        <v>0.00371778093908976</v>
      </c>
      <c r="G24" s="11" t="n">
        <f aca="false">IF(TradeMap_Datos!G25="",0,TradeMap_Datos!G25/TradeMap_Datos!G$5)</f>
        <v>0.0051586421815915</v>
      </c>
      <c r="H24" s="11" t="n">
        <f aca="false">IF(TradeMap_Datos!H25="",0,TradeMap_Datos!H25/TradeMap_Datos!H$5)</f>
        <v>0.00450852326548491</v>
      </c>
      <c r="I24" s="11" t="n">
        <f aca="false">IF(TradeMap_Datos!I25="",0,TradeMap_Datos!I25/TradeMap_Datos!I$5)</f>
        <v>0.00551756941554195</v>
      </c>
      <c r="J24" s="11" t="n">
        <f aca="false">IF(TradeMap_Datos!J25="",0,TradeMap_Datos!J25/TradeMap_Datos!J$5)</f>
        <v>0.00532047145137733</v>
      </c>
      <c r="K24" s="11" t="n">
        <f aca="false">IF(TradeMap_Datos!K25="",0,TradeMap_Datos!K25/TradeMap_Datos!K$5)</f>
        <v>0.00636616242268645</v>
      </c>
      <c r="L24" s="11" t="n">
        <f aca="false">IF(TradeMap_Datos!L25="",0,TradeMap_Datos!L25/TradeMap_Datos!L$5)</f>
        <v>0.0098711648011855</v>
      </c>
    </row>
    <row r="25" customFormat="false" ht="15" hidden="false" customHeight="false" outlineLevel="0" collapsed="false">
      <c r="A25" s="4" t="str">
        <f aca="false">TradeMap_Datos!A26</f>
        <v>381</v>
      </c>
      <c r="B25" s="4" t="str">
        <f aca="false">TradeMap_Datos!B26</f>
        <v>Italia</v>
      </c>
      <c r="C25" s="11" t="n">
        <f aca="false">IF(TradeMap_Datos!C26="",0,TradeMap_Datos!C26/TradeMap_Datos!C$5)</f>
        <v>0.00386534366386644</v>
      </c>
      <c r="D25" s="11" t="n">
        <f aca="false">IF(TradeMap_Datos!D26="",0,TradeMap_Datos!D26/TradeMap_Datos!D$5)</f>
        <v>0.00307511500042924</v>
      </c>
      <c r="E25" s="11" t="n">
        <f aca="false">IF(TradeMap_Datos!E26="",0,TradeMap_Datos!E26/TradeMap_Datos!E$5)</f>
        <v>0.00317647296737075</v>
      </c>
      <c r="F25" s="11" t="n">
        <f aca="false">IF(TradeMap_Datos!F26="",0,TradeMap_Datos!F26/TradeMap_Datos!F$5)</f>
        <v>0.00259528755394373</v>
      </c>
      <c r="G25" s="11" t="n">
        <f aca="false">IF(TradeMap_Datos!G26="",0,TradeMap_Datos!G26/TradeMap_Datos!G$5)</f>
        <v>0.00413661166264545</v>
      </c>
      <c r="H25" s="11" t="n">
        <f aca="false">IF(TradeMap_Datos!H26="",0,TradeMap_Datos!H26/TradeMap_Datos!H$5)</f>
        <v>0.00349364086151244</v>
      </c>
      <c r="I25" s="11" t="n">
        <f aca="false">IF(TradeMap_Datos!I26="",0,TradeMap_Datos!I26/TradeMap_Datos!I$5)</f>
        <v>0.00429248100928938</v>
      </c>
      <c r="J25" s="11" t="n">
        <f aca="false">IF(TradeMap_Datos!J26="",0,TradeMap_Datos!J26/TradeMap_Datos!J$5)</f>
        <v>0.00474684963146632</v>
      </c>
      <c r="K25" s="11" t="n">
        <f aca="false">IF(TradeMap_Datos!K26="",0,TradeMap_Datos!K26/TradeMap_Datos!K$5)</f>
        <v>0.00581396391193202</v>
      </c>
      <c r="L25" s="11" t="n">
        <f aca="false">IF(TradeMap_Datos!L26="",0,TradeMap_Datos!L26/TradeMap_Datos!L$5)</f>
        <v>0.00970852006060853</v>
      </c>
    </row>
    <row r="26" customFormat="false" ht="15" hidden="false" customHeight="false" outlineLevel="0" collapsed="false">
      <c r="A26" s="4" t="str">
        <f aca="false">TradeMap_Datos!A27</f>
        <v>152</v>
      </c>
      <c r="B26" s="4" t="str">
        <f aca="false">TradeMap_Datos!B27</f>
        <v>Chile</v>
      </c>
      <c r="C26" s="11" t="n">
        <f aca="false">IF(TradeMap_Datos!C27="",0,TradeMap_Datos!C27/TradeMap_Datos!C$5)</f>
        <v>0.00334377233768853</v>
      </c>
      <c r="D26" s="11" t="n">
        <f aca="false">IF(TradeMap_Datos!D27="",0,TradeMap_Datos!D27/TradeMap_Datos!D$5)</f>
        <v>0.00304380284090005</v>
      </c>
      <c r="E26" s="11" t="n">
        <f aca="false">IF(TradeMap_Datos!E27="",0,TradeMap_Datos!E27/TradeMap_Datos!E$5)</f>
        <v>0.00350863001648146</v>
      </c>
      <c r="F26" s="11" t="n">
        <f aca="false">IF(TradeMap_Datos!F27="",0,TradeMap_Datos!F27/TradeMap_Datos!F$5)</f>
        <v>0.00248902664784888</v>
      </c>
      <c r="G26" s="11" t="n">
        <f aca="false">IF(TradeMap_Datos!G27="",0,TradeMap_Datos!G27/TradeMap_Datos!G$5)</f>
        <v>0.00312757835254879</v>
      </c>
      <c r="H26" s="11" t="n">
        <f aca="false">IF(TradeMap_Datos!H27="",0,TradeMap_Datos!H27/TradeMap_Datos!H$5)</f>
        <v>0.00217733927930809</v>
      </c>
      <c r="I26" s="11" t="n">
        <f aca="false">IF(TradeMap_Datos!I27="",0,TradeMap_Datos!I27/TradeMap_Datos!I$5)</f>
        <v>0.00301614670483212</v>
      </c>
      <c r="J26" s="11" t="n">
        <f aca="false">IF(TradeMap_Datos!J27="",0,TradeMap_Datos!J27/TradeMap_Datos!J$5)</f>
        <v>0.00352297815970925</v>
      </c>
      <c r="K26" s="11" t="n">
        <f aca="false">IF(TradeMap_Datos!K27="",0,TradeMap_Datos!K27/TradeMap_Datos!K$5)</f>
        <v>0.00304605607068756</v>
      </c>
      <c r="L26" s="11" t="n">
        <f aca="false">IF(TradeMap_Datos!L27="",0,TradeMap_Datos!L27/TradeMap_Datos!L$5)</f>
        <v>0.00626680779161781</v>
      </c>
    </row>
    <row r="27" customFormat="false" ht="15" hidden="false" customHeight="false" outlineLevel="0" collapsed="false">
      <c r="A27" s="4" t="str">
        <f aca="false">TradeMap_Datos!A28</f>
        <v>458</v>
      </c>
      <c r="B27" s="4" t="str">
        <f aca="false">TradeMap_Datos!B28</f>
        <v>Malasia</v>
      </c>
      <c r="C27" s="11" t="n">
        <f aca="false">IF(TradeMap_Datos!C28="",0,TradeMap_Datos!C28/TradeMap_Datos!C$5)</f>
        <v>0.00606951837791967</v>
      </c>
      <c r="D27" s="11" t="n">
        <f aca="false">IF(TradeMap_Datos!D28="",0,TradeMap_Datos!D28/TradeMap_Datos!D$5)</f>
        <v>0.00427489257972272</v>
      </c>
      <c r="E27" s="11" t="n">
        <f aca="false">IF(TradeMap_Datos!E28="",0,TradeMap_Datos!E28/TradeMap_Datos!E$5)</f>
        <v>0.00489337607053661</v>
      </c>
      <c r="F27" s="11" t="n">
        <f aca="false">IF(TradeMap_Datos!F28="",0,TradeMap_Datos!F28/TradeMap_Datos!F$5)</f>
        <v>0.00424908546956402</v>
      </c>
      <c r="G27" s="11" t="n">
        <f aca="false">IF(TradeMap_Datos!G28="",0,TradeMap_Datos!G28/TradeMap_Datos!G$5)</f>
        <v>0.00392615685781479</v>
      </c>
      <c r="H27" s="11" t="n">
        <f aca="false">IF(TradeMap_Datos!H28="",0,TradeMap_Datos!H28/TradeMap_Datos!H$5)</f>
        <v>0.00418359070410714</v>
      </c>
      <c r="I27" s="11" t="n">
        <f aca="false">IF(TradeMap_Datos!I28="",0,TradeMap_Datos!I28/TradeMap_Datos!I$5)</f>
        <v>0.00413761080863762</v>
      </c>
      <c r="J27" s="11" t="n">
        <f aca="false">IF(TradeMap_Datos!J28="",0,TradeMap_Datos!J28/TradeMap_Datos!J$5)</f>
        <v>0.00532481912978499</v>
      </c>
      <c r="K27" s="11" t="n">
        <f aca="false">IF(TradeMap_Datos!K28="",0,TradeMap_Datos!K28/TradeMap_Datos!K$5)</f>
        <v>0.00481457681129948</v>
      </c>
      <c r="L27" s="11" t="n">
        <f aca="false">IF(TradeMap_Datos!L28="",0,TradeMap_Datos!L28/TradeMap_Datos!L$5)</f>
        <v>0.0057093912381845</v>
      </c>
    </row>
    <row r="28" customFormat="false" ht="15" hidden="false" customHeight="false" outlineLevel="0" collapsed="false">
      <c r="A28" s="4" t="str">
        <f aca="false">TradeMap_Datos!A29</f>
        <v>344</v>
      </c>
      <c r="B28" s="4" t="str">
        <f aca="false">TradeMap_Datos!B29</f>
        <v>Hong Kong, China</v>
      </c>
      <c r="C28" s="11" t="n">
        <f aca="false">IF(TradeMap_Datos!C29="",0,TradeMap_Datos!C29/TradeMap_Datos!C$5)</f>
        <v>0.0290524322079063</v>
      </c>
      <c r="D28" s="11" t="n">
        <f aca="false">IF(TradeMap_Datos!D29="",0,TradeMap_Datos!D29/TradeMap_Datos!D$5)</f>
        <v>0.0323008409663246</v>
      </c>
      <c r="E28" s="11" t="n">
        <f aca="false">IF(TradeMap_Datos!E29="",0,TradeMap_Datos!E29/TradeMap_Datos!E$5)</f>
        <v>0.0209724061921759</v>
      </c>
      <c r="F28" s="11" t="n">
        <f aca="false">IF(TradeMap_Datos!F29="",0,TradeMap_Datos!F29/TradeMap_Datos!F$5)</f>
        <v>0.0272813619946613</v>
      </c>
      <c r="G28" s="11" t="n">
        <f aca="false">IF(TradeMap_Datos!G29="",0,TradeMap_Datos!G29/TradeMap_Datos!G$5)</f>
        <v>0.0264353230143827</v>
      </c>
      <c r="H28" s="11" t="n">
        <f aca="false">IF(TradeMap_Datos!H29="",0,TradeMap_Datos!H29/TradeMap_Datos!H$5)</f>
        <v>0.0523909527667638</v>
      </c>
      <c r="I28" s="11" t="n">
        <f aca="false">IF(TradeMap_Datos!I29="",0,TradeMap_Datos!I29/TradeMap_Datos!I$5)</f>
        <v>0.0247095829829643</v>
      </c>
      <c r="J28" s="11" t="n">
        <f aca="false">IF(TradeMap_Datos!J29="",0,TradeMap_Datos!J29/TradeMap_Datos!J$5)</f>
        <v>0.00508515335756258</v>
      </c>
      <c r="K28" s="11" t="n">
        <f aca="false">IF(TradeMap_Datos!K29="",0,TradeMap_Datos!K29/TradeMap_Datos!K$5)</f>
        <v>0.00532169789260456</v>
      </c>
      <c r="L28" s="11" t="n">
        <f aca="false">IF(TradeMap_Datos!L29="",0,TradeMap_Datos!L29/TradeMap_Datos!L$5)</f>
        <v>0.00534048056223981</v>
      </c>
    </row>
    <row r="29" customFormat="false" ht="15" hidden="false" customHeight="false" outlineLevel="0" collapsed="false">
      <c r="A29" s="4" t="str">
        <f aca="false">TradeMap_Datos!A30</f>
        <v>144</v>
      </c>
      <c r="B29" s="4" t="str">
        <f aca="false">TradeMap_Datos!B30</f>
        <v>Sri Lanka</v>
      </c>
      <c r="C29" s="11" t="n">
        <f aca="false">IF(TradeMap_Datos!C30="",0,TradeMap_Datos!C30/TradeMap_Datos!C$5)</f>
        <v>0.00198171122810561</v>
      </c>
      <c r="D29" s="11" t="n">
        <f aca="false">IF(TradeMap_Datos!D30="",0,TradeMap_Datos!D30/TradeMap_Datos!D$5)</f>
        <v>0.00215140629431812</v>
      </c>
      <c r="E29" s="11" t="n">
        <f aca="false">IF(TradeMap_Datos!E30="",0,TradeMap_Datos!E30/TradeMap_Datos!E$5)</f>
        <v>0</v>
      </c>
      <c r="F29" s="11" t="n">
        <f aca="false">IF(TradeMap_Datos!F30="",0,TradeMap_Datos!F30/TradeMap_Datos!F$5)</f>
        <v>0.00246291167940184</v>
      </c>
      <c r="G29" s="11" t="n">
        <f aca="false">IF(TradeMap_Datos!G30="",0,TradeMap_Datos!G30/TradeMap_Datos!G$5)</f>
        <v>0.00159390770831964</v>
      </c>
      <c r="H29" s="11" t="n">
        <f aca="false">IF(TradeMap_Datos!H30="",0,TradeMap_Datos!H30/TradeMap_Datos!H$5)</f>
        <v>0.0022778869843795</v>
      </c>
      <c r="I29" s="11" t="n">
        <f aca="false">IF(TradeMap_Datos!I30="",0,TradeMap_Datos!I30/TradeMap_Datos!I$5)</f>
        <v>0.00319395015274675</v>
      </c>
      <c r="J29" s="11" t="n">
        <f aca="false">IF(TradeMap_Datos!J30="",0,TradeMap_Datos!J30/TradeMap_Datos!J$5)</f>
        <v>0.00296756224313033</v>
      </c>
      <c r="K29" s="11" t="n">
        <f aca="false">IF(TradeMap_Datos!K30="",0,TradeMap_Datos!K30/TradeMap_Datos!K$5)</f>
        <v>0.00288367487596664</v>
      </c>
      <c r="L29" s="11" t="n">
        <f aca="false">IF(TradeMap_Datos!L30="",0,TradeMap_Datos!L30/TradeMap_Datos!L$5)</f>
        <v>0.00466933732238774</v>
      </c>
    </row>
    <row r="30" customFormat="false" ht="15" hidden="false" customHeight="false" outlineLevel="0" collapsed="false">
      <c r="A30" s="4" t="str">
        <f aca="false">TradeMap_Datos!A31</f>
        <v>360</v>
      </c>
      <c r="B30" s="4" t="str">
        <f aca="false">TradeMap_Datos!B31</f>
        <v>Indonesia</v>
      </c>
      <c r="C30" s="11" t="n">
        <f aca="false">IF(TradeMap_Datos!C31="",0,TradeMap_Datos!C31/TradeMap_Datos!C$5)</f>
        <v>0.00218858603182624</v>
      </c>
      <c r="D30" s="11" t="n">
        <f aca="false">IF(TradeMap_Datos!D31="",0,TradeMap_Datos!D31/TradeMap_Datos!D$5)</f>
        <v>0.000875174858840871</v>
      </c>
      <c r="E30" s="11" t="n">
        <f aca="false">IF(TradeMap_Datos!E31="",0,TradeMap_Datos!E31/TradeMap_Datos!E$5)</f>
        <v>0.000760877258617377</v>
      </c>
      <c r="F30" s="11" t="n">
        <f aca="false">IF(TradeMap_Datos!F31="",0,TradeMap_Datos!F31/TradeMap_Datos!F$5)</f>
        <v>0.000855040087602211</v>
      </c>
      <c r="G30" s="11" t="n">
        <f aca="false">IF(TradeMap_Datos!G31="",0,TradeMap_Datos!G31/TradeMap_Datos!G$5)</f>
        <v>0.000659358402783002</v>
      </c>
      <c r="H30" s="11" t="n">
        <f aca="false">IF(TradeMap_Datos!H31="",0,TradeMap_Datos!H31/TradeMap_Datos!H$5)</f>
        <v>0.000640459769497185</v>
      </c>
      <c r="I30" s="11" t="n">
        <f aca="false">IF(TradeMap_Datos!I31="",0,TradeMap_Datos!I31/TradeMap_Datos!I$5)</f>
        <v>0.00132446581105836</v>
      </c>
      <c r="J30" s="11" t="n">
        <f aca="false">IF(TradeMap_Datos!J31="",0,TradeMap_Datos!J31/TradeMap_Datos!J$5)</f>
        <v>0.00160701063143236</v>
      </c>
      <c r="K30" s="11" t="n">
        <f aca="false">IF(TradeMap_Datos!K31="",0,TradeMap_Datos!K31/TradeMap_Datos!K$5)</f>
        <v>0.00205076691818677</v>
      </c>
      <c r="L30" s="11" t="n">
        <f aca="false">IF(TradeMap_Datos!L31="",0,TradeMap_Datos!L31/TradeMap_Datos!L$5)</f>
        <v>0.00445715136772698</v>
      </c>
    </row>
    <row r="31" customFormat="false" ht="15" hidden="false" customHeight="false" outlineLevel="0" collapsed="false">
      <c r="A31" s="4" t="str">
        <f aca="false">TradeMap_Datos!A32</f>
        <v>320</v>
      </c>
      <c r="B31" s="4" t="str">
        <f aca="false">TradeMap_Datos!B32</f>
        <v>Guatemala</v>
      </c>
      <c r="C31" s="11" t="n">
        <f aca="false">IF(TradeMap_Datos!C32="",0,TradeMap_Datos!C32/TradeMap_Datos!C$5)</f>
        <v>0.00228406671046653</v>
      </c>
      <c r="D31" s="11" t="n">
        <f aca="false">IF(TradeMap_Datos!D32="",0,TradeMap_Datos!D32/TradeMap_Datos!D$5)</f>
        <v>0.00189464658617876</v>
      </c>
      <c r="E31" s="11" t="n">
        <f aca="false">IF(TradeMap_Datos!E32="",0,TradeMap_Datos!E32/TradeMap_Datos!E$5)</f>
        <v>0.00248435272348558</v>
      </c>
      <c r="F31" s="11" t="n">
        <f aca="false">IF(TradeMap_Datos!F32="",0,TradeMap_Datos!F32/TradeMap_Datos!F$5)</f>
        <v>0.00184042988840128</v>
      </c>
      <c r="G31" s="11" t="n">
        <f aca="false">IF(TradeMap_Datos!G32="",0,TradeMap_Datos!G32/TradeMap_Datos!G$5)</f>
        <v>0.00263793350378006</v>
      </c>
      <c r="H31" s="11" t="n">
        <f aca="false">IF(TradeMap_Datos!H32="",0,TradeMap_Datos!H32/TradeMap_Datos!H$5)</f>
        <v>0.00276338236209625</v>
      </c>
      <c r="I31" s="11" t="n">
        <f aca="false">IF(TradeMap_Datos!I32="",0,TradeMap_Datos!I32/TradeMap_Datos!I$5)</f>
        <v>0.00403087211458696</v>
      </c>
      <c r="J31" s="11" t="n">
        <f aca="false">IF(TradeMap_Datos!J32="",0,TradeMap_Datos!J32/TradeMap_Datos!J$5)</f>
        <v>0.00363493087870657</v>
      </c>
      <c r="K31" s="11" t="n">
        <f aca="false">IF(TradeMap_Datos!K32="",0,TradeMap_Datos!K32/TradeMap_Datos!K$5)</f>
        <v>0.00308037638629103</v>
      </c>
      <c r="L31" s="11" t="n">
        <f aca="false">IF(TradeMap_Datos!L32="",0,TradeMap_Datos!L32/TradeMap_Datos!L$5)</f>
        <v>0.00422190849581969</v>
      </c>
    </row>
    <row r="32" customFormat="false" ht="15" hidden="false" customHeight="false" outlineLevel="0" collapsed="false">
      <c r="A32" s="4" t="str">
        <f aca="false">TradeMap_Datos!A33</f>
        <v>620</v>
      </c>
      <c r="B32" s="4" t="str">
        <f aca="false">TradeMap_Datos!B33</f>
        <v>Portugal</v>
      </c>
      <c r="C32" s="11" t="n">
        <f aca="false">IF(TradeMap_Datos!C33="",0,TradeMap_Datos!C33/TradeMap_Datos!C$5)</f>
        <v>0.00093402187676692</v>
      </c>
      <c r="D32" s="11" t="n">
        <f aca="false">IF(TradeMap_Datos!D33="",0,TradeMap_Datos!D33/TradeMap_Datos!D$5)</f>
        <v>0.00206060103168347</v>
      </c>
      <c r="E32" s="11" t="n">
        <f aca="false">IF(TradeMap_Datos!E33="",0,TradeMap_Datos!E33/TradeMap_Datos!E$5)</f>
        <v>0.00122245927663576</v>
      </c>
      <c r="F32" s="11" t="n">
        <f aca="false">IF(TradeMap_Datos!F33="",0,TradeMap_Datos!F33/TradeMap_Datos!F$5)</f>
        <v>0.000751030471890726</v>
      </c>
      <c r="G32" s="11" t="n">
        <f aca="false">IF(TradeMap_Datos!G33="",0,TradeMap_Datos!G33/TradeMap_Datos!G$5)</f>
        <v>0.000628115112279638</v>
      </c>
      <c r="H32" s="11" t="n">
        <f aca="false">IF(TradeMap_Datos!H33="",0,TradeMap_Datos!H33/TradeMap_Datos!H$5)</f>
        <v>0.000453248452259547</v>
      </c>
      <c r="I32" s="11" t="n">
        <f aca="false">IF(TradeMap_Datos!I33="",0,TradeMap_Datos!I33/TradeMap_Datos!I$5)</f>
        <v>0.000767839093542168</v>
      </c>
      <c r="J32" s="11" t="n">
        <f aca="false">IF(TradeMap_Datos!J33="",0,TradeMap_Datos!J33/TradeMap_Datos!J$5)</f>
        <v>0.00195400971434394</v>
      </c>
      <c r="K32" s="11" t="n">
        <f aca="false">IF(TradeMap_Datos!K33="",0,TradeMap_Datos!K33/TradeMap_Datos!K$5)</f>
        <v>0.00212376161928371</v>
      </c>
      <c r="L32" s="11" t="n">
        <f aca="false">IF(TradeMap_Datos!L33="",0,TradeMap_Datos!L33/TradeMap_Datos!L$5)</f>
        <v>0.00401159202093568</v>
      </c>
    </row>
    <row r="33" customFormat="false" ht="15" hidden="false" customHeight="false" outlineLevel="0" collapsed="false">
      <c r="A33" s="4" t="str">
        <f aca="false">TradeMap_Datos!A34</f>
        <v>490</v>
      </c>
      <c r="B33" s="4" t="str">
        <f aca="false">TradeMap_Datos!B34</f>
        <v>Taipei Chino</v>
      </c>
      <c r="C33" s="11" t="n">
        <f aca="false">IF(TradeMap_Datos!C34="",0,TradeMap_Datos!C34/TradeMap_Datos!C$5)</f>
        <v>0.0118068029658767</v>
      </c>
      <c r="D33" s="11" t="n">
        <f aca="false">IF(TradeMap_Datos!D34="",0,TradeMap_Datos!D34/TradeMap_Datos!D$5)</f>
        <v>0.00886003647344716</v>
      </c>
      <c r="E33" s="11" t="n">
        <f aca="false">IF(TradeMap_Datos!E34="",0,TradeMap_Datos!E34/TradeMap_Datos!E$5)</f>
        <v>0.0122759077442644</v>
      </c>
      <c r="F33" s="11" t="n">
        <f aca="false">IF(TradeMap_Datos!F34="",0,TradeMap_Datos!F34/TradeMap_Datos!F$5)</f>
        <v>0.0142673276755404</v>
      </c>
      <c r="G33" s="11" t="n">
        <f aca="false">IF(TradeMap_Datos!G34="",0,TradeMap_Datos!G34/TradeMap_Datos!G$5)</f>
        <v>0.0174560013237157</v>
      </c>
      <c r="H33" s="11" t="n">
        <f aca="false">IF(TradeMap_Datos!H34="",0,TradeMap_Datos!H34/TradeMap_Datos!H$5)</f>
        <v>0.0153047491211593</v>
      </c>
      <c r="I33" s="11" t="n">
        <f aca="false">IF(TradeMap_Datos!I34="",0,TradeMap_Datos!I34/TradeMap_Datos!I$5)</f>
        <v>0.0038292860398812</v>
      </c>
      <c r="J33" s="11" t="n">
        <f aca="false">IF(TradeMap_Datos!J34="",0,TradeMap_Datos!J34/TradeMap_Datos!J$5)</f>
        <v>0.0028132196596583</v>
      </c>
      <c r="K33" s="11" t="n">
        <f aca="false">IF(TradeMap_Datos!K34="",0,TradeMap_Datos!K34/TradeMap_Datos!K$5)</f>
        <v>0.00641789901784989</v>
      </c>
      <c r="L33" s="11" t="n">
        <f aca="false">IF(TradeMap_Datos!L34="",0,TradeMap_Datos!L34/TradeMap_Datos!L$5)</f>
        <v>0.00367726672086081</v>
      </c>
    </row>
    <row r="34" customFormat="false" ht="15" hidden="false" customHeight="false" outlineLevel="0" collapsed="false">
      <c r="A34" s="4" t="str">
        <f aca="false">TradeMap_Datos!A35</f>
        <v>100</v>
      </c>
      <c r="B34" s="4" t="str">
        <f aca="false">TradeMap_Datos!B35</f>
        <v>Bulgaria</v>
      </c>
      <c r="C34" s="11" t="n">
        <f aca="false">IF(TradeMap_Datos!C35="",0,TradeMap_Datos!C35/TradeMap_Datos!C$5)</f>
        <v>0.000182517487740963</v>
      </c>
      <c r="D34" s="11" t="n">
        <f aca="false">IF(TradeMap_Datos!D35="",0,TradeMap_Datos!D35/TradeMap_Datos!D$5)</f>
        <v>0.000136468828614721</v>
      </c>
      <c r="E34" s="11" t="n">
        <f aca="false">IF(TradeMap_Datos!E35="",0,TradeMap_Datos!E35/TradeMap_Datos!E$5)</f>
        <v>0.00021714071931971</v>
      </c>
      <c r="F34" s="11" t="n">
        <f aca="false">IF(TradeMap_Datos!F35="",0,TradeMap_Datos!F35/TradeMap_Datos!F$5)</f>
        <v>7.60936149577534E-005</v>
      </c>
      <c r="G34" s="11" t="n">
        <f aca="false">IF(TradeMap_Datos!G35="",0,TradeMap_Datos!G35/TradeMap_Datos!G$5)</f>
        <v>0.000129722142169969</v>
      </c>
      <c r="H34" s="11" t="n">
        <f aca="false">IF(TradeMap_Datos!H35="",0,TradeMap_Datos!H35/TradeMap_Datos!H$5)</f>
        <v>0.000451456956400813</v>
      </c>
      <c r="I34" s="11" t="n">
        <f aca="false">IF(TradeMap_Datos!I35="",0,TradeMap_Datos!I35/TradeMap_Datos!I$5)</f>
        <v>0.000853060172877047</v>
      </c>
      <c r="J34" s="11" t="n">
        <f aca="false">IF(TradeMap_Datos!J35="",0,TradeMap_Datos!J35/TradeMap_Datos!J$5)</f>
        <v>0.00126843517543562</v>
      </c>
      <c r="K34" s="11" t="n">
        <f aca="false">IF(TradeMap_Datos!K35="",0,TradeMap_Datos!K35/TradeMap_Datos!K$5)</f>
        <v>0.00137434935468842</v>
      </c>
      <c r="L34" s="11" t="n">
        <f aca="false">IF(TradeMap_Datos!L35="",0,TradeMap_Datos!L35/TradeMap_Datos!L$5)</f>
        <v>0.00278303222765029</v>
      </c>
    </row>
    <row r="35" customFormat="false" ht="15" hidden="false" customHeight="false" outlineLevel="0" collapsed="false">
      <c r="A35" s="4" t="str">
        <f aca="false">TradeMap_Datos!A36</f>
        <v>682</v>
      </c>
      <c r="B35" s="4" t="str">
        <f aca="false">TradeMap_Datos!B36</f>
        <v>Arabia Saudita</v>
      </c>
      <c r="C35" s="11" t="n">
        <f aca="false">IF(TradeMap_Datos!C36="",0,TradeMap_Datos!C36/TradeMap_Datos!C$5)</f>
        <v>0.00332948271231379</v>
      </c>
      <c r="D35" s="11" t="n">
        <f aca="false">IF(TradeMap_Datos!D36="",0,TradeMap_Datos!D36/TradeMap_Datos!D$5)</f>
        <v>0.00387879376167846</v>
      </c>
      <c r="E35" s="11" t="n">
        <f aca="false">IF(TradeMap_Datos!E36="",0,TradeMap_Datos!E36/TradeMap_Datos!E$5)</f>
        <v>0.0043541896278021</v>
      </c>
      <c r="F35" s="11" t="n">
        <f aca="false">IF(TradeMap_Datos!F36="",0,TradeMap_Datos!F36/TradeMap_Datos!F$5)</f>
        <v>0.00238164009656235</v>
      </c>
      <c r="G35" s="11" t="n">
        <f aca="false">IF(TradeMap_Datos!G36="",0,TradeMap_Datos!G36/TradeMap_Datos!G$5)</f>
        <v>0.00366821225141901</v>
      </c>
      <c r="H35" s="11" t="n">
        <f aca="false">IF(TradeMap_Datos!H36="",0,TradeMap_Datos!H36/TradeMap_Datos!H$5)</f>
        <v>0.00175096326492954</v>
      </c>
      <c r="I35" s="11" t="n">
        <f aca="false">IF(TradeMap_Datos!I36="",0,TradeMap_Datos!I36/TradeMap_Datos!I$5)</f>
        <v>0.00461807649512032</v>
      </c>
      <c r="J35" s="11" t="n">
        <f aca="false">IF(TradeMap_Datos!J36="",0,TradeMap_Datos!J36/TradeMap_Datos!J$5)</f>
        <v>0.00275072178254815</v>
      </c>
      <c r="K35" s="11" t="n">
        <f aca="false">IF(TradeMap_Datos!K36="",0,TradeMap_Datos!K36/TradeMap_Datos!K$5)</f>
        <v>0.00100707075337959</v>
      </c>
      <c r="L35" s="11" t="n">
        <f aca="false">IF(TradeMap_Datos!L36="",0,TradeMap_Datos!L36/TradeMap_Datos!L$5)</f>
        <v>0.0025266019182732</v>
      </c>
    </row>
    <row r="36" customFormat="false" ht="15" hidden="false" customHeight="false" outlineLevel="0" collapsed="false">
      <c r="A36" s="4" t="str">
        <f aca="false">TradeMap_Datos!A37</f>
        <v>348</v>
      </c>
      <c r="B36" s="4" t="str">
        <f aca="false">TradeMap_Datos!B37</f>
        <v>Hungría</v>
      </c>
      <c r="C36" s="11" t="n">
        <f aca="false">IF(TradeMap_Datos!C37="",0,TradeMap_Datos!C37/TradeMap_Datos!C$5)</f>
        <v>0.00155529581635493</v>
      </c>
      <c r="D36" s="11" t="n">
        <f aca="false">IF(TradeMap_Datos!D37="",0,TradeMap_Datos!D37/TradeMap_Datos!D$5)</f>
        <v>0.00224038501431357</v>
      </c>
      <c r="E36" s="11" t="n">
        <f aca="false">IF(TradeMap_Datos!E37="",0,TradeMap_Datos!E37/TradeMap_Datos!E$5)</f>
        <v>0.000880696468113934</v>
      </c>
      <c r="F36" s="11" t="n">
        <f aca="false">IF(TradeMap_Datos!F37="",0,TradeMap_Datos!F37/TradeMap_Datos!F$5)</f>
        <v>0.00134289471367751</v>
      </c>
      <c r="G36" s="11" t="n">
        <f aca="false">IF(TradeMap_Datos!G37="",0,TradeMap_Datos!G37/TradeMap_Datos!G$5)</f>
        <v>0.00358722964243429</v>
      </c>
      <c r="H36" s="11" t="n">
        <f aca="false">IF(TradeMap_Datos!H37="",0,TradeMap_Datos!H37/TradeMap_Datos!H$5)</f>
        <v>0.00490578747215904</v>
      </c>
      <c r="I36" s="11" t="n">
        <f aca="false">IF(TradeMap_Datos!I37="",0,TradeMap_Datos!I37/TradeMap_Datos!I$5)</f>
        <v>0.00294593133049641</v>
      </c>
      <c r="J36" s="11" t="n">
        <f aca="false">IF(TradeMap_Datos!J37="",0,TradeMap_Datos!J37/TradeMap_Datos!J$5)</f>
        <v>0.0013589212322951</v>
      </c>
      <c r="K36" s="11" t="n">
        <f aca="false">IF(TradeMap_Datos!K37="",0,TradeMap_Datos!K37/TradeMap_Datos!K$5)</f>
        <v>0.00257530427905183</v>
      </c>
      <c r="L36" s="11" t="n">
        <f aca="false">IF(TradeMap_Datos!L37="",0,TradeMap_Datos!L37/TradeMap_Datos!L$5)</f>
        <v>0.00245119956727775</v>
      </c>
    </row>
    <row r="37" customFormat="false" ht="15" hidden="false" customHeight="false" outlineLevel="0" collapsed="false">
      <c r="A37" s="4" t="str">
        <f aca="false">TradeMap_Datos!A38</f>
        <v>076</v>
      </c>
      <c r="B37" s="4" t="str">
        <f aca="false">TradeMap_Datos!B38</f>
        <v>Brasil</v>
      </c>
      <c r="C37" s="11" t="n">
        <f aca="false">IF(TradeMap_Datos!C38="",0,TradeMap_Datos!C38/TradeMap_Datos!C$5)</f>
        <v>0.000572559307628679</v>
      </c>
      <c r="D37" s="11" t="n">
        <f aca="false">IF(TradeMap_Datos!D38="",0,TradeMap_Datos!D38/TradeMap_Datos!D$5)</f>
        <v>0.000412798636459826</v>
      </c>
      <c r="E37" s="11" t="n">
        <f aca="false">IF(TradeMap_Datos!E38="",0,TradeMap_Datos!E38/TradeMap_Datos!E$5)</f>
        <v>0.000612999120314664</v>
      </c>
      <c r="F37" s="11" t="n">
        <f aca="false">IF(TradeMap_Datos!F38="",0,TradeMap_Datos!F38/TradeMap_Datos!F$5)</f>
        <v>0.00067313582462628</v>
      </c>
      <c r="G37" s="11" t="n">
        <f aca="false">IF(TradeMap_Datos!G38="",0,TradeMap_Datos!G38/TradeMap_Datos!G$5)</f>
        <v>0.000511890071607122</v>
      </c>
      <c r="H37" s="11" t="n">
        <f aca="false">IF(TradeMap_Datos!H38="",0,TradeMap_Datos!H38/TradeMap_Datos!H$5)</f>
        <v>0.000910975644165927</v>
      </c>
      <c r="I37" s="11" t="n">
        <f aca="false">IF(TradeMap_Datos!I38="",0,TradeMap_Datos!I38/TradeMap_Datos!I$5)</f>
        <v>0.00165883821868125</v>
      </c>
      <c r="J37" s="11" t="n">
        <f aca="false">IF(TradeMap_Datos!J38="",0,TradeMap_Datos!J38/TradeMap_Datos!J$5)</f>
        <v>0.00157630515267824</v>
      </c>
      <c r="K37" s="11" t="n">
        <f aca="false">IF(TradeMap_Datos!K38="",0,TradeMap_Datos!K38/TradeMap_Datos!K$5)</f>
        <v>0.00130545260172324</v>
      </c>
      <c r="L37" s="11" t="n">
        <f aca="false">IF(TradeMap_Datos!L38="",0,TradeMap_Datos!L38/TradeMap_Datos!L$5)</f>
        <v>0.00230382224487755</v>
      </c>
    </row>
    <row r="38" customFormat="false" ht="15" hidden="false" customHeight="false" outlineLevel="0" collapsed="false">
      <c r="A38" s="4" t="str">
        <f aca="false">TradeMap_Datos!A39</f>
        <v>504</v>
      </c>
      <c r="B38" s="4" t="str">
        <f aca="false">TradeMap_Datos!B39</f>
        <v>Marruecos</v>
      </c>
      <c r="C38" s="11" t="n">
        <f aca="false">IF(TradeMap_Datos!C39="",0,TradeMap_Datos!C39/TradeMap_Datos!C$5)</f>
        <v>0.00202100769788614</v>
      </c>
      <c r="D38" s="11" t="n">
        <f aca="false">IF(TradeMap_Datos!D39="",0,TradeMap_Datos!D39/TradeMap_Datos!D$5)</f>
        <v>0.00280530855915271</v>
      </c>
      <c r="E38" s="11" t="n">
        <f aca="false">IF(TradeMap_Datos!E39="",0,TradeMap_Datos!E39/TradeMap_Datos!E$5)</f>
        <v>0.00216736266291874</v>
      </c>
      <c r="F38" s="11" t="n">
        <f aca="false">IF(TradeMap_Datos!F39="",0,TradeMap_Datos!F39/TradeMap_Datos!F$5)</f>
        <v>0.00186339305031161</v>
      </c>
      <c r="G38" s="11" t="n">
        <f aca="false">IF(TradeMap_Datos!G39="",0,TradeMap_Datos!G39/TradeMap_Datos!G$5)</f>
        <v>0.00134346149164467</v>
      </c>
      <c r="H38" s="11" t="n">
        <f aca="false">IF(TradeMap_Datos!H39="",0,TradeMap_Datos!H39/TradeMap_Datos!H$5)</f>
        <v>0.00135616236506117</v>
      </c>
      <c r="I38" s="11" t="n">
        <f aca="false">IF(TradeMap_Datos!I39="",0,TradeMap_Datos!I39/TradeMap_Datos!I$5)</f>
        <v>0.00111495219408888</v>
      </c>
      <c r="J38" s="11" t="n">
        <f aca="false">IF(TradeMap_Datos!J39="",0,TradeMap_Datos!J39/TradeMap_Datos!J$5)</f>
        <v>0.00150212288984749</v>
      </c>
      <c r="K38" s="11" t="n">
        <f aca="false">IF(TradeMap_Datos!K39="",0,TradeMap_Datos!K39/TradeMap_Datos!K$5)</f>
        <v>0.00103754924260954</v>
      </c>
      <c r="L38" s="11" t="n">
        <f aca="false">IF(TradeMap_Datos!L39="",0,TradeMap_Datos!L39/TradeMap_Datos!L$5)</f>
        <v>0.00224867259146352</v>
      </c>
    </row>
    <row r="39" customFormat="false" ht="15" hidden="false" customHeight="false" outlineLevel="0" collapsed="false">
      <c r="A39" s="4" t="str">
        <f aca="false">TradeMap_Datos!A40</f>
        <v>036</v>
      </c>
      <c r="B39" s="4" t="str">
        <f aca="false">TradeMap_Datos!B40</f>
        <v>Australia</v>
      </c>
      <c r="C39" s="11" t="n">
        <f aca="false">IF(TradeMap_Datos!C40="",0,TradeMap_Datos!C40/TradeMap_Datos!C$5)</f>
        <v>0.000698567822296817</v>
      </c>
      <c r="D39" s="11" t="n">
        <f aca="false">IF(TradeMap_Datos!D40="",0,TradeMap_Datos!D40/TradeMap_Datos!D$5)</f>
        <v>0.00133963855852386</v>
      </c>
      <c r="E39" s="11" t="n">
        <f aca="false">IF(TradeMap_Datos!E40="",0,TradeMap_Datos!E40/TradeMap_Datos!E$5)</f>
        <v>0.000962092639966026</v>
      </c>
      <c r="F39" s="11" t="n">
        <f aca="false">IF(TradeMap_Datos!F40="",0,TradeMap_Datos!F40/TradeMap_Datos!F$5)</f>
        <v>0.0006744865988563</v>
      </c>
      <c r="G39" s="11" t="n">
        <f aca="false">IF(TradeMap_Datos!G40="",0,TradeMap_Datos!G40/TradeMap_Datos!G$5)</f>
        <v>0.00119324375090449</v>
      </c>
      <c r="H39" s="11" t="n">
        <f aca="false">IF(TradeMap_Datos!H40="",0,TradeMap_Datos!H40/TradeMap_Datos!H$5)</f>
        <v>0.00142580676656943</v>
      </c>
      <c r="I39" s="11" t="n">
        <f aca="false">IF(TradeMap_Datos!I40="",0,TradeMap_Datos!I40/TradeMap_Datos!I$5)</f>
        <v>0.00281739189522054</v>
      </c>
      <c r="J39" s="11" t="n">
        <f aca="false">IF(TradeMap_Datos!J40="",0,TradeMap_Datos!J40/TradeMap_Datos!J$5)</f>
        <v>0.00191786963758025</v>
      </c>
      <c r="K39" s="11" t="n">
        <f aca="false">IF(TradeMap_Datos!K40="",0,TradeMap_Datos!K40/TradeMap_Datos!K$5)</f>
        <v>0.00197982119115571</v>
      </c>
      <c r="L39" s="11" t="n">
        <f aca="false">IF(TradeMap_Datos!L40="",0,TradeMap_Datos!L40/TradeMap_Datos!L$5)</f>
        <v>0.00151334387927647</v>
      </c>
    </row>
    <row r="40" customFormat="false" ht="15" hidden="false" customHeight="false" outlineLevel="0" collapsed="false">
      <c r="A40" s="4" t="str">
        <f aca="false">TradeMap_Datos!A41</f>
        <v>554</v>
      </c>
      <c r="B40" s="4" t="str">
        <f aca="false">TradeMap_Datos!B41</f>
        <v>Nueva Zelandia</v>
      </c>
      <c r="C40" s="11" t="n">
        <f aca="false">IF(TradeMap_Datos!C41="",0,TradeMap_Datos!C41/TradeMap_Datos!C$5)</f>
        <v>0.00145494367451871</v>
      </c>
      <c r="D40" s="11" t="n">
        <f aca="false">IF(TradeMap_Datos!D41="",0,TradeMap_Datos!D41/TradeMap_Datos!D$5)</f>
        <v>0.00118960112744649</v>
      </c>
      <c r="E40" s="11" t="n">
        <f aca="false">IF(TradeMap_Datos!E41="",0,TradeMap_Datos!E41/TradeMap_Datos!E$5)</f>
        <v>0.00112286271853103</v>
      </c>
      <c r="F40" s="11" t="n">
        <f aca="false">IF(TradeMap_Datos!F41="",0,TradeMap_Datos!F41/TradeMap_Datos!F$5)</f>
        <v>0.000619555113502182</v>
      </c>
      <c r="G40" s="11" t="n">
        <f aca="false">IF(TradeMap_Datos!G41="",0,TradeMap_Datos!G41/TradeMap_Datos!G$5)</f>
        <v>0.000852067018607754</v>
      </c>
      <c r="H40" s="11" t="n">
        <f aca="false">IF(TradeMap_Datos!H41="",0,TradeMap_Datos!H41/TradeMap_Datos!H$5)</f>
        <v>0.000829910456558241</v>
      </c>
      <c r="I40" s="11" t="n">
        <f aca="false">IF(TradeMap_Datos!I41="",0,TradeMap_Datos!I41/TradeMap_Datos!I$5)</f>
        <v>0.000832958190708354</v>
      </c>
      <c r="J40" s="11" t="n">
        <f aca="false">IF(TradeMap_Datos!J41="",0,TradeMap_Datos!J41/TradeMap_Datos!J$5)</f>
        <v>0.000774973676165891</v>
      </c>
      <c r="K40" s="11" t="n">
        <f aca="false">IF(TradeMap_Datos!K41="",0,TradeMap_Datos!K41/TradeMap_Datos!K$5)</f>
        <v>0.000804222320857557</v>
      </c>
      <c r="L40" s="11" t="n">
        <f aca="false">IF(TradeMap_Datos!L41="",0,TradeMap_Datos!L41/TradeMap_Datos!L$5)</f>
        <v>0.00129025262591803</v>
      </c>
    </row>
    <row r="41" customFormat="false" ht="15" hidden="false" customHeight="false" outlineLevel="0" collapsed="false">
      <c r="A41" s="4" t="str">
        <f aca="false">TradeMap_Datos!A42</f>
        <v>480</v>
      </c>
      <c r="B41" s="4" t="str">
        <f aca="false">TradeMap_Datos!B42</f>
        <v>Mauricio</v>
      </c>
      <c r="C41" s="11" t="n">
        <f aca="false">IF(TradeMap_Datos!C42="",0,TradeMap_Datos!C42/TradeMap_Datos!C$5)</f>
        <v>0.000511828399786045</v>
      </c>
      <c r="D41" s="11" t="n">
        <f aca="false">IF(TradeMap_Datos!D42="",0,TradeMap_Datos!D42/TradeMap_Datos!D$5)</f>
        <v>0.000244495778990428</v>
      </c>
      <c r="E41" s="11" t="n">
        <f aca="false">IF(TradeMap_Datos!E42="",0,TradeMap_Datos!E42/TradeMap_Datos!E$5)</f>
        <v>0.000533372430459358</v>
      </c>
      <c r="F41" s="11" t="n">
        <f aca="false">IF(TradeMap_Datos!F42="",0,TradeMap_Datos!F42/TradeMap_Datos!F$5)</f>
        <v>0.000289065685224128</v>
      </c>
      <c r="G41" s="11" t="n">
        <f aca="false">IF(TradeMap_Datos!G42="",0,TradeMap_Datos!G42/TradeMap_Datos!G$5)</f>
        <v>0.000340176947000632</v>
      </c>
      <c r="H41" s="11" t="n">
        <f aca="false">IF(TradeMap_Datos!H42="",0,TradeMap_Datos!H42/TradeMap_Datos!H$5)</f>
        <v>0.000352476810205794</v>
      </c>
      <c r="I41" s="11" t="n">
        <f aca="false">IF(TradeMap_Datos!I42="",0,TradeMap_Datos!I42/TradeMap_Datos!I$5)</f>
        <v>0.000536807861856914</v>
      </c>
      <c r="J41" s="11" t="n">
        <f aca="false">IF(TradeMap_Datos!J42="",0,TradeMap_Datos!J42/TradeMap_Datos!J$5)</f>
        <v>0.000538296932848748</v>
      </c>
      <c r="K41" s="11" t="n">
        <f aca="false">IF(TradeMap_Datos!K42="",0,TradeMap_Datos!K42/TradeMap_Datos!K$5)</f>
        <v>0.000638767665037818</v>
      </c>
      <c r="L41" s="11" t="n">
        <f aca="false">IF(TradeMap_Datos!L42="",0,TradeMap_Datos!L42/TradeMap_Datos!L$5)</f>
        <v>0.00128713682629012</v>
      </c>
    </row>
    <row r="42" customFormat="false" ht="15" hidden="false" customHeight="false" outlineLevel="0" collapsed="false">
      <c r="A42" s="4" t="str">
        <f aca="false">TradeMap_Datos!A43</f>
        <v>826</v>
      </c>
      <c r="B42" s="4" t="str">
        <f aca="false">TradeMap_Datos!B43</f>
        <v>Reino Unido</v>
      </c>
      <c r="C42" s="11" t="n">
        <f aca="false">IF(TradeMap_Datos!C43="",0,TradeMap_Datos!C43/TradeMap_Datos!C$5)</f>
        <v>0.000760922551204762</v>
      </c>
      <c r="D42" s="11" t="n">
        <f aca="false">IF(TradeMap_Datos!D43="",0,TradeMap_Datos!D43/TradeMap_Datos!D$5)</f>
        <v>0.00129345312321831</v>
      </c>
      <c r="E42" s="11" t="n">
        <f aca="false">IF(TradeMap_Datos!E43="",0,TradeMap_Datos!E43/TradeMap_Datos!E$5)</f>
        <v>0.000967906652241175</v>
      </c>
      <c r="F42" s="11" t="n">
        <f aca="false">IF(TradeMap_Datos!F43="",0,TradeMap_Datos!F43/TradeMap_Datos!F$5)</f>
        <v>0.00119633570972042</v>
      </c>
      <c r="G42" s="11" t="n">
        <f aca="false">IF(TradeMap_Datos!G43="",0,TradeMap_Datos!G43/TradeMap_Datos!G$5)</f>
        <v>0.00270441922597122</v>
      </c>
      <c r="H42" s="11" t="n">
        <f aca="false">IF(TradeMap_Datos!H43="",0,TradeMap_Datos!H43/TradeMap_Datos!H$5)</f>
        <v>0.00282989164585172</v>
      </c>
      <c r="I42" s="11" t="n">
        <f aca="false">IF(TradeMap_Datos!I43="",0,TradeMap_Datos!I43/TradeMap_Datos!I$5)</f>
        <v>0.00202888456649085</v>
      </c>
      <c r="J42" s="11" t="n">
        <f aca="false">IF(TradeMap_Datos!J43="",0,TradeMap_Datos!J43/TradeMap_Datos!J$5)</f>
        <v>0.000804863965218573</v>
      </c>
      <c r="K42" s="11" t="n">
        <f aca="false">IF(TradeMap_Datos!K43="",0,TradeMap_Datos!K43/TradeMap_Datos!K$5)</f>
        <v>0.000843408949867495</v>
      </c>
      <c r="L42" s="11" t="n">
        <f aca="false">IF(TradeMap_Datos!L43="",0,TradeMap_Datos!L43/TradeMap_Datos!L$5)</f>
        <v>0.00121173447529467</v>
      </c>
    </row>
    <row r="43" customFormat="false" ht="15" hidden="false" customHeight="false" outlineLevel="0" collapsed="false">
      <c r="A43" s="4" t="str">
        <f aca="false">TradeMap_Datos!A44</f>
        <v>450</v>
      </c>
      <c r="B43" s="4" t="str">
        <f aca="false">TradeMap_Datos!B44</f>
        <v>Madagascar</v>
      </c>
      <c r="C43" s="11" t="n">
        <f aca="false">IF(TradeMap_Datos!C44="",0,TradeMap_Datos!C44/TradeMap_Datos!C$5)</f>
        <v>9.09339796574192E-005</v>
      </c>
      <c r="D43" s="11" t="n">
        <f aca="false">IF(TradeMap_Datos!D44="",0,TradeMap_Datos!D44/TradeMap_Datos!D$5)</f>
        <v>0.000160474817587101</v>
      </c>
      <c r="E43" s="11" t="n">
        <f aca="false">IF(TradeMap_Datos!E44="",0,TradeMap_Datos!E44/TradeMap_Datos!E$5)</f>
        <v>8.03850392825003E-005</v>
      </c>
      <c r="F43" s="11" t="n">
        <f aca="false">IF(TradeMap_Datos!F44="",0,TradeMap_Datos!F44/TradeMap_Datos!F$5)</f>
        <v>6.52874211175991E-005</v>
      </c>
      <c r="G43" s="11" t="n">
        <f aca="false">IF(TradeMap_Datos!G44="",0,TradeMap_Datos!G44/TradeMap_Datos!G$5)</f>
        <v>0.000145968653231718</v>
      </c>
      <c r="H43" s="11" t="n">
        <f aca="false">IF(TradeMap_Datos!H44="",0,TradeMap_Datos!H44/TradeMap_Datos!H$5)</f>
        <v>0.000132794630528612</v>
      </c>
      <c r="I43" s="11" t="n">
        <f aca="false">IF(TradeMap_Datos!I44="",0,TradeMap_Datos!I44/TradeMap_Datos!I$5)</f>
        <v>0.00077067035863635</v>
      </c>
      <c r="J43" s="11" t="n">
        <f aca="false">IF(TradeMap_Datos!J44="",0,TradeMap_Datos!J44/TradeMap_Datos!J$5)</f>
        <v>0.000729323052885432</v>
      </c>
      <c r="K43" s="11" t="n">
        <f aca="false">IF(TradeMap_Datos!K44="",0,TradeMap_Datos!K44/TradeMap_Datos!K$5)</f>
        <v>0.000644402343718985</v>
      </c>
      <c r="L43" s="11" t="n">
        <f aca="false">IF(TradeMap_Datos!L44="",0,TradeMap_Datos!L44/TradeMap_Datos!L$5)</f>
        <v>0.00106061819334098</v>
      </c>
    </row>
    <row r="44" customFormat="false" ht="15" hidden="false" customHeight="false" outlineLevel="0" collapsed="false">
      <c r="A44" s="4" t="str">
        <f aca="false">TradeMap_Datos!A45</f>
        <v>214</v>
      </c>
      <c r="B44" s="4" t="str">
        <f aca="false">TradeMap_Datos!B45</f>
        <v>República Dominicana</v>
      </c>
      <c r="C44" s="11" t="n">
        <f aca="false">IF(TradeMap_Datos!C45="",0,TradeMap_Datos!C45/TradeMap_Datos!C$5)</f>
        <v>0.000521896090390974</v>
      </c>
      <c r="D44" s="11" t="n">
        <f aca="false">IF(TradeMap_Datos!D45="",0,TradeMap_Datos!D45/TradeMap_Datos!D$5)</f>
        <v>0.00049734146718864</v>
      </c>
      <c r="E44" s="11" t="n">
        <f aca="false">IF(TradeMap_Datos!E45="",0,TradeMap_Datos!E45/TradeMap_Datos!E$5)</f>
        <v>0.000530339032750584</v>
      </c>
      <c r="F44" s="11" t="n">
        <f aca="false">IF(TradeMap_Datos!F45="",0,TradeMap_Datos!F45/TradeMap_Datos!F$5)</f>
        <v>0.000531079401435918</v>
      </c>
      <c r="G44" s="11" t="n">
        <f aca="false">IF(TradeMap_Datos!G45="",0,TradeMap_Datos!G45/TradeMap_Datos!G$5)</f>
        <v>0.000551881483451429</v>
      </c>
      <c r="H44" s="11" t="n">
        <f aca="false">IF(TradeMap_Datos!H45="",0,TradeMap_Datos!H45/TradeMap_Datos!H$5)</f>
        <v>0.000654119925420027</v>
      </c>
      <c r="I44" s="11" t="n">
        <f aca="false">IF(TradeMap_Datos!I45="",0,TradeMap_Datos!I45/TradeMap_Datos!I$5)</f>
        <v>0.000835506329293118</v>
      </c>
      <c r="J44" s="11" t="n">
        <f aca="false">IF(TradeMap_Datos!J45="",0,TradeMap_Datos!J45/TradeMap_Datos!J$5)</f>
        <v>0.000791549200095105</v>
      </c>
      <c r="K44" s="11" t="n">
        <f aca="false">IF(TradeMap_Datos!K45="",0,TradeMap_Datos!K45/TradeMap_Datos!K$5)</f>
        <v>0.000878497630745675</v>
      </c>
      <c r="L44" s="11" t="n">
        <f aca="false">IF(TradeMap_Datos!L45="",0,TradeMap_Datos!L45/TradeMap_Datos!L$5)</f>
        <v>0.000991759021564138</v>
      </c>
    </row>
    <row r="45" customFormat="false" ht="15" hidden="false" customHeight="false" outlineLevel="0" collapsed="false">
      <c r="A45" s="4" t="str">
        <f aca="false">TradeMap_Datos!A46</f>
        <v>268</v>
      </c>
      <c r="B45" s="4" t="str">
        <f aca="false">TradeMap_Datos!B46</f>
        <v>Georgia</v>
      </c>
      <c r="C45" s="11" t="n">
        <f aca="false">IF(TradeMap_Datos!C46="",0,TradeMap_Datos!C46/TradeMap_Datos!C$5)</f>
        <v>0.000191935649919767</v>
      </c>
      <c r="D45" s="11" t="n">
        <f aca="false">IF(TradeMap_Datos!D46="",0,TradeMap_Datos!D46/TradeMap_Datos!D$5)</f>
        <v>0.000256237838813875</v>
      </c>
      <c r="E45" s="11" t="n">
        <f aca="false">IF(TradeMap_Datos!E46="",0,TradeMap_Datos!E46/TradeMap_Datos!E$5)</f>
        <v>0.000275786408356</v>
      </c>
      <c r="F45" s="11" t="n">
        <f aca="false">IF(TradeMap_Datos!F46="",0,TradeMap_Datos!F46/TradeMap_Datos!F$5)</f>
        <v>0.000263851232930435</v>
      </c>
      <c r="G45" s="11" t="n">
        <f aca="false">IF(TradeMap_Datos!G46="",0,TradeMap_Datos!G46/TradeMap_Datos!G$5)</f>
        <v>0.000455652148701066</v>
      </c>
      <c r="H45" s="11" t="n">
        <f aca="false">IF(TradeMap_Datos!H46="",0,TradeMap_Datos!H46/TradeMap_Datos!H$5)</f>
        <v>0.000430630817043038</v>
      </c>
      <c r="I45" s="11" t="n">
        <f aca="false">IF(TradeMap_Datos!I46="",0,TradeMap_Datos!I46/TradeMap_Datos!I$5)</f>
        <v>0.000643829682416994</v>
      </c>
      <c r="J45" s="11" t="n">
        <f aca="false">IF(TradeMap_Datos!J46="",0,TradeMap_Datos!J46/TradeMap_Datos!J$5)</f>
        <v>0.000614381304982847</v>
      </c>
      <c r="K45" s="11" t="n">
        <f aca="false">IF(TradeMap_Datos!K46="",0,TradeMap_Datos!K46/TradeMap_Datos!K$5)</f>
        <v>0.000523512873832117</v>
      </c>
      <c r="L45" s="11" t="n">
        <f aca="false">IF(TradeMap_Datos!L46="",0,TradeMap_Datos!L46/TradeMap_Datos!L$5)</f>
        <v>0.000959666285396652</v>
      </c>
    </row>
    <row r="46" customFormat="false" ht="15" hidden="false" customHeight="false" outlineLevel="0" collapsed="false">
      <c r="A46" s="4" t="str">
        <f aca="false">TradeMap_Datos!A47</f>
        <v>404</v>
      </c>
      <c r="B46" s="4" t="str">
        <f aca="false">TradeMap_Datos!B47</f>
        <v>Kenya</v>
      </c>
      <c r="C46" s="11" t="n">
        <f aca="false">IF(TradeMap_Datos!C47="",0,TradeMap_Datos!C47/TradeMap_Datos!C$5)</f>
        <v>0.000523519911456285</v>
      </c>
      <c r="D46" s="11" t="n">
        <f aca="false">IF(TradeMap_Datos!D47="",0,TradeMap_Datos!D47/TradeMap_Datos!D$5)</f>
        <v>0.000412015832471597</v>
      </c>
      <c r="E46" s="11" t="n">
        <f aca="false">IF(TradeMap_Datos!E47="",0,TradeMap_Datos!E47/TradeMap_Datos!E$5)</f>
        <v>0.000566739805255867</v>
      </c>
      <c r="F46" s="11" t="n">
        <f aca="false">IF(TradeMap_Datos!F47="",0,TradeMap_Datos!F47/TradeMap_Datos!F$5)</f>
        <v>0.000519822949519091</v>
      </c>
      <c r="G46" s="11" t="n">
        <f aca="false">IF(TradeMap_Datos!G47="",0,TradeMap_Datos!G47/TradeMap_Datos!G$5)</f>
        <v>0.000655109315274545</v>
      </c>
      <c r="H46" s="11" t="n">
        <f aca="false">IF(TradeMap_Datos!H47="",0,TradeMap_Datos!H47/TradeMap_Datos!H$5)</f>
        <v>0.000805501325482998</v>
      </c>
      <c r="I46" s="11" t="n">
        <f aca="false">IF(TradeMap_Datos!I47="",0,TradeMap_Datos!I47/TradeMap_Datos!I$5)</f>
        <v>0.000619763929116447</v>
      </c>
      <c r="J46" s="11" t="n">
        <f aca="false">IF(TradeMap_Datos!J47="",0,TradeMap_Datos!J47/TradeMap_Datos!J$5)</f>
        <v>0.00062633742060392</v>
      </c>
      <c r="K46" s="11" t="n">
        <f aca="false">IF(TradeMap_Datos!K47="",0,TradeMap_Datos!K47/TradeMap_Datos!K$5)</f>
        <v>0.000587287191632605</v>
      </c>
      <c r="L46" s="11" t="n">
        <f aca="false">IF(TradeMap_Datos!L47="",0,TradeMap_Datos!L47/TradeMap_Datos!L$5)</f>
        <v>0.000894234493210517</v>
      </c>
    </row>
    <row r="47" customFormat="false" ht="15" hidden="false" customHeight="false" outlineLevel="0" collapsed="false">
      <c r="A47" s="4" t="str">
        <f aca="false">TradeMap_Datos!A48</f>
        <v>203</v>
      </c>
      <c r="B47" s="4" t="str">
        <f aca="false">TradeMap_Datos!B48</f>
        <v>República Checa</v>
      </c>
      <c r="C47" s="11" t="n">
        <f aca="false">IF(TradeMap_Datos!C48="",0,TradeMap_Datos!C48/TradeMap_Datos!C$5)</f>
        <v>0.000792749444084858</v>
      </c>
      <c r="D47" s="11" t="n">
        <f aca="false">IF(TradeMap_Datos!D48="",0,TradeMap_Datos!D48/TradeMap_Datos!D$5)</f>
        <v>0.000506996049710141</v>
      </c>
      <c r="E47" s="11" t="n">
        <f aca="false">IF(TradeMap_Datos!E48="",0,TradeMap_Datos!E48/TradeMap_Datos!E$5)</f>
        <v>0.000459306969736802</v>
      </c>
      <c r="F47" s="11" t="n">
        <f aca="false">IF(TradeMap_Datos!F48="",0,TradeMap_Datos!F48/TradeMap_Datos!F$5)</f>
        <v>0.00083230205473022</v>
      </c>
      <c r="G47" s="11" t="n">
        <f aca="false">IF(TradeMap_Datos!G48="",0,TradeMap_Datos!G48/TradeMap_Datos!G$5)</f>
        <v>0.000980789375481615</v>
      </c>
      <c r="H47" s="11" t="n">
        <f aca="false">IF(TradeMap_Datos!H48="",0,TradeMap_Datos!H48/TradeMap_Datos!H$5)</f>
        <v>0.00132749843132144</v>
      </c>
      <c r="I47" s="11" t="n">
        <f aca="false">IF(TradeMap_Datos!I48="",0,TradeMap_Datos!I48/TradeMap_Datos!I$5)</f>
        <v>0.000994906554095567</v>
      </c>
      <c r="J47" s="11" t="n">
        <f aca="false">IF(TradeMap_Datos!J48="",0,TradeMap_Datos!J48/TradeMap_Datos!J$5)</f>
        <v>0.000648619272443192</v>
      </c>
      <c r="K47" s="11" t="n">
        <f aca="false">IF(TradeMap_Datos!K48="",0,TradeMap_Datos!K48/TradeMap_Datos!K$5)</f>
        <v>0.000482789514272769</v>
      </c>
      <c r="L47" s="11" t="n">
        <f aca="false">IF(TradeMap_Datos!L48="",0,TradeMap_Datos!L48/TradeMap_Datos!L$5)</f>
        <v>0.000872423895815138</v>
      </c>
    </row>
    <row r="48" customFormat="false" ht="15" hidden="false" customHeight="false" outlineLevel="0" collapsed="false">
      <c r="A48" s="4" t="str">
        <f aca="false">TradeMap_Datos!A49</f>
        <v>586</v>
      </c>
      <c r="B48" s="4" t="str">
        <f aca="false">TradeMap_Datos!B49</f>
        <v>Pakistán</v>
      </c>
      <c r="C48" s="11" t="n">
        <f aca="false">IF(TradeMap_Datos!C49="",0,TradeMap_Datos!C49/TradeMap_Datos!C$5)</f>
        <v>0.00225613698814318</v>
      </c>
      <c r="D48" s="11" t="n">
        <f aca="false">IF(TradeMap_Datos!D49="",0,TradeMap_Datos!D49/TradeMap_Datos!D$5)</f>
        <v>0.00239668487729678</v>
      </c>
      <c r="E48" s="11" t="n">
        <f aca="false">IF(TradeMap_Datos!E49="",0,TradeMap_Datos!E49/TradeMap_Datos!E$5)</f>
        <v>0.00149875125127655</v>
      </c>
      <c r="F48" s="11" t="n">
        <f aca="false">IF(TradeMap_Datos!F49="",0,TradeMap_Datos!F49/TradeMap_Datos!F$5)</f>
        <v>0.00167856210983731</v>
      </c>
      <c r="G48" s="11" t="n">
        <f aca="false">IF(TradeMap_Datos!G49="",0,TradeMap_Datos!G49/TradeMap_Datos!G$5)</f>
        <v>0.000993786584331015</v>
      </c>
      <c r="H48" s="11" t="n">
        <f aca="false">IF(TradeMap_Datos!H49="",0,TradeMap_Datos!H49/TradeMap_Datos!H$5)</f>
        <v>0.00150508045831839</v>
      </c>
      <c r="I48" s="11" t="n">
        <f aca="false">IF(TradeMap_Datos!I49="",0,TradeMap_Datos!I49/TradeMap_Datos!I$5)</f>
        <v>0.00140487373973312</v>
      </c>
      <c r="J48" s="11" t="n">
        <f aca="false">IF(TradeMap_Datos!J49="",0,TradeMap_Datos!J49/TradeMap_Datos!J$5)</f>
        <v>0.0010005094935634</v>
      </c>
      <c r="K48" s="11" t="n">
        <f aca="false">IF(TradeMap_Datos!K49="",0,TradeMap_Datos!K49/TradeMap_Datos!K$5)</f>
        <v>0.00108108994150947</v>
      </c>
      <c r="L48" s="11" t="n">
        <f aca="false">IF(TradeMap_Datos!L49="",0,TradeMap_Datos!L49/TradeMap_Datos!L$5)</f>
        <v>0.0008422006394244</v>
      </c>
    </row>
    <row r="49" customFormat="false" ht="15" hidden="false" customHeight="false" outlineLevel="0" collapsed="false">
      <c r="A49" s="4" t="str">
        <f aca="false">TradeMap_Datos!A50</f>
        <v>428</v>
      </c>
      <c r="B49" s="4" t="str">
        <f aca="false">TradeMap_Datos!B50</f>
        <v>Letonia</v>
      </c>
      <c r="C49" s="11" t="n">
        <f aca="false">IF(TradeMap_Datos!C50="",0,TradeMap_Datos!C50/TradeMap_Datos!C$5)</f>
        <v>0.000246496037714219</v>
      </c>
      <c r="D49" s="11" t="n">
        <f aca="false">IF(TradeMap_Datos!D50="",0,TradeMap_Datos!D50/TradeMap_Datos!D$5)</f>
        <v>0.000238755216410077</v>
      </c>
      <c r="E49" s="11" t="n">
        <f aca="false">IF(TradeMap_Datos!E50="",0,TradeMap_Datos!E50/TradeMap_Datos!E$5)</f>
        <v>0.000224976996734042</v>
      </c>
      <c r="F49" s="11" t="n">
        <f aca="false">IF(TradeMap_Datos!F50="",0,TradeMap_Datos!F50/TradeMap_Datos!F$5)</f>
        <v>0.000333190976738092</v>
      </c>
      <c r="G49" s="11" t="n">
        <f aca="false">IF(TradeMap_Datos!G50="",0,TradeMap_Datos!G50/TradeMap_Datos!G$5)</f>
        <v>0.000437406067047102</v>
      </c>
      <c r="H49" s="11" t="n">
        <f aca="false">IF(TradeMap_Datos!H50="",0,TradeMap_Datos!H50/TradeMap_Datos!H$5)</f>
        <v>0.000416522787155512</v>
      </c>
      <c r="I49" s="11" t="n">
        <f aca="false">IF(TradeMap_Datos!I50="",0,TradeMap_Datos!I50/TradeMap_Datos!I$5)</f>
        <v>0.000460929957332835</v>
      </c>
      <c r="J49" s="11" t="n">
        <f aca="false">IF(TradeMap_Datos!J50="",0,TradeMap_Datos!J50/TradeMap_Datos!J$5)</f>
        <v>0.000520091029516661</v>
      </c>
      <c r="K49" s="11" t="n">
        <f aca="false">IF(TradeMap_Datos!K50="",0,TradeMap_Datos!K50/TradeMap_Datos!K$5)</f>
        <v>0.00062109526371961</v>
      </c>
      <c r="L49" s="11" t="n">
        <f aca="false">IF(TradeMap_Datos!L50="",0,TradeMap_Datos!L50/TradeMap_Datos!L$5)</f>
        <v>0.000762124588987082</v>
      </c>
    </row>
    <row r="50" customFormat="false" ht="15" hidden="false" customHeight="false" outlineLevel="0" collapsed="false">
      <c r="A50" s="4" t="str">
        <f aca="false">TradeMap_Datos!A51</f>
        <v>702</v>
      </c>
      <c r="B50" s="4" t="str">
        <f aca="false">TradeMap_Datos!B51</f>
        <v>Singapur</v>
      </c>
      <c r="C50" s="11" t="n">
        <f aca="false">IF(TradeMap_Datos!C51="",0,TradeMap_Datos!C51/TradeMap_Datos!C$5)</f>
        <v>0.00120877240101755</v>
      </c>
      <c r="D50" s="11" t="n">
        <f aca="false">IF(TradeMap_Datos!D51="",0,TradeMap_Datos!D51/TradeMap_Datos!D$5)</f>
        <v>0.000951628715024644</v>
      </c>
      <c r="E50" s="11" t="n">
        <f aca="false">IF(TradeMap_Datos!E51="",0,TradeMap_Datos!E51/TradeMap_Datos!E$5)</f>
        <v>0.000785650006572362</v>
      </c>
      <c r="F50" s="11" t="n">
        <f aca="false">IF(TradeMap_Datos!F51="",0,TradeMap_Datos!F51/TradeMap_Datos!F$5)</f>
        <v>0.000695198470383262</v>
      </c>
      <c r="G50" s="11" t="n">
        <f aca="false">IF(TradeMap_Datos!G51="",0,TradeMap_Datos!G51/TradeMap_Datos!G$5)</f>
        <v>0.000657358832190787</v>
      </c>
      <c r="H50" s="11" t="n">
        <f aca="false">IF(TradeMap_Datos!H51="",0,TradeMap_Datos!H51/TradeMap_Datos!H$5)</f>
        <v>0.000479225142211181</v>
      </c>
      <c r="I50" s="11" t="n">
        <f aca="false">IF(TradeMap_Datos!I51="",0,TradeMap_Datos!I51/TradeMap_Datos!I$5)</f>
        <v>0.000656004122321977</v>
      </c>
      <c r="J50" s="11" t="n">
        <f aca="false">IF(TradeMap_Datos!J51="",0,TradeMap_Datos!J51/TradeMap_Datos!J$5)</f>
        <v>0.000635576237220203</v>
      </c>
      <c r="K50" s="11" t="n">
        <f aca="false">IF(TradeMap_Datos!K51="",0,TradeMap_Datos!K51/TradeMap_Datos!K$5)</f>
        <v>0.000602654497126698</v>
      </c>
      <c r="L50" s="11" t="n">
        <f aca="false">IF(TradeMap_Datos!L51="",0,TradeMap_Datos!L51/TradeMap_Datos!L$5)</f>
        <v>0.000747168750773108</v>
      </c>
    </row>
    <row r="51" customFormat="false" ht="15" hidden="false" customHeight="false" outlineLevel="0" collapsed="false">
      <c r="A51" s="4" t="str">
        <f aca="false">TradeMap_Datos!A52</f>
        <v>616</v>
      </c>
      <c r="B51" s="4" t="str">
        <f aca="false">TradeMap_Datos!B52</f>
        <v>Polonia</v>
      </c>
      <c r="C51" s="11" t="n">
        <f aca="false">IF(TradeMap_Datos!C52="",0,TradeMap_Datos!C52/TradeMap_Datos!C$5)</f>
        <v>0.000362112097564366</v>
      </c>
      <c r="D51" s="11" t="n">
        <f aca="false">IF(TradeMap_Datos!D52="",0,TradeMap_Datos!D52/TradeMap_Datos!D$5)</f>
        <v>0.000265631486672632</v>
      </c>
      <c r="E51" s="11" t="n">
        <f aca="false">IF(TradeMap_Datos!E52="",0,TradeMap_Datos!E52/TradeMap_Datos!E$5)</f>
        <v>0.000157989463998625</v>
      </c>
      <c r="F51" s="11" t="n">
        <f aca="false">IF(TradeMap_Datos!F52="",0,TradeMap_Datos!F52/TradeMap_Datos!F$5)</f>
        <v>0.000332965847699755</v>
      </c>
      <c r="G51" s="11" t="n">
        <f aca="false">IF(TradeMap_Datos!G52="",0,TradeMap_Datos!G52/TradeMap_Datos!G$5)</f>
        <v>0.00077133435594706</v>
      </c>
      <c r="H51" s="11" t="n">
        <f aca="false">IF(TradeMap_Datos!H52="",0,TradeMap_Datos!H52/TradeMap_Datos!H$5)</f>
        <v>0.000564321195501016</v>
      </c>
      <c r="I51" s="11" t="n">
        <f aca="false">IF(TradeMap_Datos!I52="",0,TradeMap_Datos!I52/TradeMap_Datos!I$5)</f>
        <v>0.000523500915914258</v>
      </c>
      <c r="J51" s="11" t="n">
        <f aca="false">IF(TradeMap_Datos!J52="",0,TradeMap_Datos!J52/TradeMap_Datos!J$5)</f>
        <v>0.000682042050202099</v>
      </c>
      <c r="K51" s="11" t="n">
        <f aca="false">IF(TradeMap_Datos!K52="",0,TradeMap_Datos!K52/TradeMap_Datos!K$5)</f>
        <v>0.00061008202811551</v>
      </c>
      <c r="L51" s="11" t="n">
        <f aca="false">IF(TradeMap_Datos!L52="",0,TradeMap_Datos!L52/TradeMap_Datos!L$5)</f>
        <v>0.000720684453935863</v>
      </c>
    </row>
    <row r="52" customFormat="false" ht="15" hidden="false" customHeight="false" outlineLevel="0" collapsed="false">
      <c r="A52" s="4" t="str">
        <f aca="false">TradeMap_Datos!A53</f>
        <v>508</v>
      </c>
      <c r="B52" s="4" t="str">
        <f aca="false">TradeMap_Datos!B53</f>
        <v>Mozambique</v>
      </c>
      <c r="C52" s="11" t="n">
        <f aca="false">IF(TradeMap_Datos!C53="",0,TradeMap_Datos!C53/TradeMap_Datos!C$5)</f>
        <v>6.23547289079446E-005</v>
      </c>
      <c r="D52" s="11" t="n">
        <f aca="false">IF(TradeMap_Datos!D53="",0,TradeMap_Datos!D53/TradeMap_Datos!D$5)</f>
        <v>6.73211429877593E-005</v>
      </c>
      <c r="E52" s="11" t="n">
        <f aca="false">IF(TradeMap_Datos!E53="",0,TradeMap_Datos!E53/TradeMap_Datos!E$5)</f>
        <v>0.000159000596568216</v>
      </c>
      <c r="F52" s="11" t="n">
        <f aca="false">IF(TradeMap_Datos!F53="",0,TradeMap_Datos!F53/TradeMap_Datos!F$5)</f>
        <v>0.000135977939155275</v>
      </c>
      <c r="G52" s="11" t="n">
        <f aca="false">IF(TradeMap_Datos!G53="",0,TradeMap_Datos!G53/TradeMap_Datos!G$5)</f>
        <v>0.000254195411535373</v>
      </c>
      <c r="H52" s="11" t="n">
        <f aca="false">IF(TradeMap_Datos!H53="",0,TradeMap_Datos!H53/TradeMap_Datos!H$5)</f>
        <v>0.000199079977301747</v>
      </c>
      <c r="I52" s="11" t="n">
        <f aca="false">IF(TradeMap_Datos!I53="",0,TradeMap_Datos!I53/TradeMap_Datos!I$5)</f>
        <v>0.00034513121498079</v>
      </c>
      <c r="J52" s="11" t="n">
        <f aca="false">IF(TradeMap_Datos!J53="",0,TradeMap_Datos!J53/TradeMap_Datos!J$5)</f>
        <v>0.000151897014367718</v>
      </c>
      <c r="K52" s="11" t="n">
        <f aca="false">IF(TradeMap_Datos!K53="",0,TradeMap_Datos!K53/TradeMap_Datos!K$5)</f>
        <v>0.000310675692738923</v>
      </c>
      <c r="L52" s="11" t="n">
        <f aca="false">IF(TradeMap_Datos!L53="",0,TradeMap_Datos!L53/TradeMap_Datos!L$5)</f>
        <v>0.000601972488112445</v>
      </c>
    </row>
    <row r="53" customFormat="false" ht="15" hidden="false" customHeight="false" outlineLevel="0" collapsed="false">
      <c r="A53" s="4" t="str">
        <f aca="false">TradeMap_Datos!A54</f>
        <v>512</v>
      </c>
      <c r="B53" s="4" t="str">
        <f aca="false">TradeMap_Datos!B54</f>
        <v>Omán</v>
      </c>
      <c r="C53" s="11" t="n">
        <f aca="false">IF(TradeMap_Datos!C54="",0,TradeMap_Datos!C54/TradeMap_Datos!C$5)</f>
        <v>0.0022259339163284</v>
      </c>
      <c r="D53" s="11" t="n">
        <f aca="false">IF(TradeMap_Datos!D54="",0,TradeMap_Datos!D54/TradeMap_Datos!D$5)</f>
        <v>0.000641377401022916</v>
      </c>
      <c r="E53" s="11" t="n">
        <f aca="false">IF(TradeMap_Datos!E54="",0,TradeMap_Datos!E54/TradeMap_Datos!E$5)</f>
        <v>0.000654961121952699</v>
      </c>
      <c r="F53" s="11" t="n">
        <f aca="false">IF(TradeMap_Datos!F54="",0,TradeMap_Datos!F54/TradeMap_Datos!F$5)</f>
        <v>0.00111326309457423</v>
      </c>
      <c r="G53" s="11" t="n">
        <f aca="false">IF(TradeMap_Datos!G54="",0,TradeMap_Datos!G54/TradeMap_Datos!G$5)</f>
        <v>0.00301710207732889</v>
      </c>
      <c r="H53" s="11" t="n">
        <f aca="false">IF(TradeMap_Datos!H54="",0,TradeMap_Datos!H54/TradeMap_Datos!H$5)</f>
        <v>0.000901346353925235</v>
      </c>
      <c r="I53" s="11" t="n">
        <f aca="false">IF(TradeMap_Datos!I54="",0,TradeMap_Datos!I54/TradeMap_Datos!I$5)</f>
        <v>0.00054360289808295</v>
      </c>
      <c r="J53" s="11" t="n">
        <f aca="false">IF(TradeMap_Datos!J54="",0,TradeMap_Datos!J54/TradeMap_Datos!J$5)</f>
        <v>0.000377704561665704</v>
      </c>
      <c r="K53" s="11" t="n">
        <f aca="false">IF(TradeMap_Datos!K54="",0,TradeMap_Datos!K54/TradeMap_Datos!K$5)</f>
        <v>0.00046870281756985</v>
      </c>
      <c r="L53" s="11" t="n">
        <f aca="false">IF(TradeMap_Datos!L54="",0,TradeMap_Datos!L54/TradeMap_Datos!L$5)</f>
        <v>0.000579227150828694</v>
      </c>
    </row>
    <row r="54" customFormat="false" ht="15" hidden="false" customHeight="false" outlineLevel="0" collapsed="false">
      <c r="A54" s="4" t="str">
        <f aca="false">TradeMap_Datos!A55</f>
        <v>558</v>
      </c>
      <c r="B54" s="4" t="str">
        <f aca="false">TradeMap_Datos!B55</f>
        <v>Nicaragua</v>
      </c>
      <c r="C54" s="11" t="n">
        <f aca="false">IF(TradeMap_Datos!C55="",0,TradeMap_Datos!C55/TradeMap_Datos!C$5)</f>
        <v>0.000451422256156474</v>
      </c>
      <c r="D54" s="11" t="n">
        <f aca="false">IF(TradeMap_Datos!D55="",0,TradeMap_Datos!D55/TradeMap_Datos!D$5)</f>
        <v>0.000252845688198212</v>
      </c>
      <c r="E54" s="11" t="n">
        <f aca="false">IF(TradeMap_Datos!E55="",0,TradeMap_Datos!E55/TradeMap_Datos!E$5)</f>
        <v>0.000365018857622423</v>
      </c>
      <c r="F54" s="11" t="n">
        <f aca="false">IF(TradeMap_Datos!F55="",0,TradeMap_Datos!F55/TradeMap_Datos!F$5)</f>
        <v>0.000400954817277393</v>
      </c>
      <c r="G54" s="11" t="n">
        <f aca="false">IF(TradeMap_Datos!G55="",0,TradeMap_Datos!G55/TradeMap_Datos!G$5)</f>
        <v>0.000295686501323841</v>
      </c>
      <c r="H54" s="11" t="n">
        <f aca="false">IF(TradeMap_Datos!H55="",0,TradeMap_Datos!H55/TradeMap_Datos!H$5)</f>
        <v>0.000356283738905602</v>
      </c>
      <c r="I54" s="11" t="n">
        <f aca="false">IF(TradeMap_Datos!I55="",0,TradeMap_Datos!I55/TradeMap_Datos!I$5)</f>
        <v>0.000608721995249137</v>
      </c>
      <c r="J54" s="11" t="n">
        <f aca="false">IF(TradeMap_Datos!J55="",0,TradeMap_Datos!J55/TradeMap_Datos!J$5)</f>
        <v>0.000526612547128155</v>
      </c>
      <c r="K54" s="11" t="n">
        <f aca="false">IF(TradeMap_Datos!K55="",0,TradeMap_Datos!K55/TradeMap_Datos!K$5)</f>
        <v>0.000569102546797927</v>
      </c>
      <c r="L54" s="11" t="n">
        <f aca="false">IF(TradeMap_Datos!L55="",0,TradeMap_Datos!L55/TradeMap_Datos!L$5)</f>
        <v>0.000568633432093796</v>
      </c>
    </row>
    <row r="55" customFormat="false" ht="15" hidden="false" customHeight="false" outlineLevel="0" collapsed="false">
      <c r="A55" s="4" t="str">
        <f aca="false">TradeMap_Datos!A56</f>
        <v>191</v>
      </c>
      <c r="B55" s="4" t="str">
        <f aca="false">TradeMap_Datos!B56</f>
        <v>Croacia</v>
      </c>
      <c r="C55" s="11" t="n">
        <f aca="false">IF(TradeMap_Datos!C56="",0,TradeMap_Datos!C56/TradeMap_Datos!C$5)</f>
        <v>0.00058879751828179</v>
      </c>
      <c r="D55" s="11" t="n">
        <f aca="false">IF(TradeMap_Datos!D56="",0,TradeMap_Datos!D56/TradeMap_Datos!D$5)</f>
        <v>0.000327733936405526</v>
      </c>
      <c r="E55" s="11" t="n">
        <f aca="false">IF(TradeMap_Datos!E56="",0,TradeMap_Datos!E56/TradeMap_Datos!E$5)</f>
        <v>0.000311681614576487</v>
      </c>
      <c r="F55" s="11" t="n">
        <f aca="false">IF(TradeMap_Datos!F56="",0,TradeMap_Datos!F56/TradeMap_Datos!F$5)</f>
        <v>0.000209595134691327</v>
      </c>
      <c r="G55" s="11" t="n">
        <f aca="false">IF(TradeMap_Datos!G56="",0,TradeMap_Datos!G56/TradeMap_Datos!G$5)</f>
        <v>0.000192208723176698</v>
      </c>
      <c r="H55" s="11" t="n">
        <f aca="false">IF(TradeMap_Datos!H56="",0,TradeMap_Datos!H56/TradeMap_Datos!H$5)</f>
        <v>0.000429511132131329</v>
      </c>
      <c r="I55" s="11" t="n">
        <f aca="false">IF(TradeMap_Datos!I56="",0,TradeMap_Datos!I56/TradeMap_Datos!I$5)</f>
        <v>0.000436297951013451</v>
      </c>
      <c r="J55" s="11" t="n">
        <f aca="false">IF(TradeMap_Datos!J56="",0,TradeMap_Datos!J56/TradeMap_Datos!J$5)</f>
        <v>0.000377976291566183</v>
      </c>
      <c r="K55" s="11" t="n">
        <f aca="false">IF(TradeMap_Datos!K56="",0,TradeMap_Datos!K56/TradeMap_Datos!K$5)</f>
        <v>0.000278148229443091</v>
      </c>
      <c r="L55" s="11" t="n">
        <f aca="false">IF(TradeMap_Datos!L56="",0,TradeMap_Datos!L56/TradeMap_Datos!L$5)</f>
        <v>0.00053093225659607</v>
      </c>
    </row>
    <row r="56" customFormat="false" ht="15" hidden="false" customHeight="false" outlineLevel="0" collapsed="false">
      <c r="A56" s="4" t="str">
        <f aca="false">TradeMap_Datos!A57</f>
        <v>800</v>
      </c>
      <c r="B56" s="4" t="str">
        <f aca="false">TradeMap_Datos!B57</f>
        <v>Uganda</v>
      </c>
      <c r="C56" s="11" t="n">
        <f aca="false">IF(TradeMap_Datos!C57="",0,TradeMap_Datos!C57/TradeMap_Datos!C$5)</f>
        <v>2.98783076017235E-005</v>
      </c>
      <c r="D56" s="11" t="n">
        <f aca="false">IF(TradeMap_Datos!D57="",0,TradeMap_Datos!D57/TradeMap_Datos!D$5)</f>
        <v>0.000268240833300064</v>
      </c>
      <c r="E56" s="11" t="n">
        <f aca="false">IF(TradeMap_Datos!E57="",0,TradeMap_Datos!E57/TradeMap_Datos!E$5)</f>
        <v>0.000357940929635285</v>
      </c>
      <c r="F56" s="11" t="n">
        <f aca="false">IF(TradeMap_Datos!F57="",0,TradeMap_Datos!F57/TradeMap_Datos!F$5)</f>
        <v>0.000557644627959631</v>
      </c>
      <c r="G56" s="11" t="n">
        <f aca="false">IF(TradeMap_Datos!G57="",0,TradeMap_Datos!G57/TradeMap_Datos!G$5)</f>
        <v>0.00067735453811294</v>
      </c>
      <c r="H56" s="11" t="n">
        <f aca="false">IF(TradeMap_Datos!H57="",0,TradeMap_Datos!H57/TradeMap_Datos!H$5)</f>
        <v>0.000393233340991978</v>
      </c>
      <c r="I56" s="11" t="n">
        <f aca="false">IF(TradeMap_Datos!I57="",0,TradeMap_Datos!I57/TradeMap_Datos!I$5)</f>
        <v>0.000650341592133613</v>
      </c>
      <c r="J56" s="11" t="n">
        <f aca="false">IF(TradeMap_Datos!J57="",0,TradeMap_Datos!J57/TradeMap_Datos!J$5)</f>
        <v>0.000133419381135152</v>
      </c>
      <c r="K56" s="11" t="n">
        <f aca="false">IF(TradeMap_Datos!K57="",0,TradeMap_Datos!K57/TradeMap_Datos!K$5)</f>
        <v>0.000220008590323771</v>
      </c>
      <c r="L56" s="11" t="n">
        <f aca="false">IF(TradeMap_Datos!L57="",0,TradeMap_Datos!L57/TradeMap_Datos!L$5)</f>
        <v>0.000391344433265648</v>
      </c>
    </row>
    <row r="57" customFormat="false" ht="15" hidden="false" customHeight="false" outlineLevel="0" collapsed="false">
      <c r="A57" s="4" t="str">
        <f aca="false">TradeMap_Datos!A58</f>
        <v>440</v>
      </c>
      <c r="B57" s="4" t="str">
        <f aca="false">TradeMap_Datos!B58</f>
        <v>Lituania</v>
      </c>
      <c r="C57" s="11" t="n">
        <f aca="false">IF(TradeMap_Datos!C58="",0,TradeMap_Datos!C58/TradeMap_Datos!C$5)</f>
        <v>0.000558594446467004</v>
      </c>
      <c r="D57" s="11" t="n">
        <f aca="false">IF(TradeMap_Datos!D58="",0,TradeMap_Datos!D58/TradeMap_Datos!D$5)</f>
        <v>0.000707654805359702</v>
      </c>
      <c r="E57" s="11" t="n">
        <f aca="false">IF(TradeMap_Datos!E58="",0,TradeMap_Datos!E58/TradeMap_Datos!E$5)</f>
        <v>0.000412794871535607</v>
      </c>
      <c r="F57" s="11" t="n">
        <f aca="false">IF(TradeMap_Datos!F58="",0,TradeMap_Datos!F58/TradeMap_Datos!F$5)</f>
        <v>0.000396227107472325</v>
      </c>
      <c r="G57" s="11" t="n">
        <f aca="false">IF(TradeMap_Datos!G58="",0,TradeMap_Datos!G58/TradeMap_Datos!G$5)</f>
        <v>0.000266192835088665</v>
      </c>
      <c r="H57" s="11" t="n">
        <f aca="false">IF(TradeMap_Datos!H58="",0,TradeMap_Datos!H58/TradeMap_Datos!H$5)</f>
        <v>0.000243195562823057</v>
      </c>
      <c r="I57" s="11" t="n">
        <f aca="false">IF(TradeMap_Datos!I58="",0,TradeMap_Datos!I58/TradeMap_Datos!I$5)</f>
        <v>0.000316252311020133</v>
      </c>
      <c r="J57" s="11" t="n">
        <f aca="false">IF(TradeMap_Datos!J58="",0,TradeMap_Datos!J58/TradeMap_Datos!J$5)</f>
        <v>0.000349172922115417</v>
      </c>
      <c r="K57" s="11" t="n">
        <f aca="false">IF(TradeMap_Datos!K58="",0,TradeMap_Datos!K58/TradeMap_Datos!K$5)</f>
        <v>0.000299918578893057</v>
      </c>
      <c r="L57" s="11" t="n">
        <f aca="false">IF(TradeMap_Datos!L58="",0,TradeMap_Datos!L58/TradeMap_Datos!L$5)</f>
        <v>0.00038635915386099</v>
      </c>
    </row>
    <row r="58" customFormat="false" ht="15" hidden="false" customHeight="false" outlineLevel="0" collapsed="false">
      <c r="A58" s="4" t="str">
        <f aca="false">TradeMap_Datos!A59</f>
        <v>246</v>
      </c>
      <c r="B58" s="4" t="str">
        <f aca="false">TradeMap_Datos!B59</f>
        <v>Finlandia</v>
      </c>
      <c r="C58" s="11" t="n">
        <f aca="false">IF(TradeMap_Datos!C59="",0,TradeMap_Datos!C59/TradeMap_Datos!C$5)</f>
        <v>0.000138349554764502</v>
      </c>
      <c r="D58" s="11" t="n">
        <f aca="false">IF(TradeMap_Datos!D59="",0,TradeMap_Datos!D59/TradeMap_Datos!D$5)</f>
        <v>6.26243190583807E-006</v>
      </c>
      <c r="E58" s="11" t="n">
        <f aca="false">IF(TradeMap_Datos!E59="",0,TradeMap_Datos!E59/TradeMap_Datos!E$5)</f>
        <v>5.61178576123116E-005</v>
      </c>
      <c r="F58" s="11" t="n">
        <f aca="false">IF(TradeMap_Datos!F59="",0,TradeMap_Datos!F59/TradeMap_Datos!F$5)</f>
        <v>1.28323551851833E-005</v>
      </c>
      <c r="G58" s="11" t="n">
        <f aca="false">IF(TradeMap_Datos!G59="",0,TradeMap_Datos!G59/TradeMap_Datos!G$5)</f>
        <v>1.67464037098033E-005</v>
      </c>
      <c r="H58" s="11" t="n">
        <f aca="false">IF(TradeMap_Datos!H59="",0,TradeMap_Datos!H59/TradeMap_Datos!H$5)</f>
        <v>2.17218872871423E-005</v>
      </c>
      <c r="I58" s="11" t="n">
        <f aca="false">IF(TradeMap_Datos!I59="",0,TradeMap_Datos!I59/TradeMap_Datos!I$5)</f>
        <v>2.18007412252017E-005</v>
      </c>
      <c r="J58" s="11" t="n">
        <f aca="false">IF(TradeMap_Datos!J59="",0,TradeMap_Datos!J59/TradeMap_Datos!J$5)</f>
        <v>1.38582249244251E-005</v>
      </c>
      <c r="K58" s="11" t="n">
        <f aca="false">IF(TradeMap_Datos!K59="",0,TradeMap_Datos!K59/TradeMap_Datos!K$5)</f>
        <v>1.15254791205701E-005</v>
      </c>
      <c r="L58" s="11" t="n">
        <f aca="false">IF(TradeMap_Datos!L59="",0,TradeMap_Datos!L59/TradeMap_Datos!L$5)</f>
        <v>0.000383243354233079</v>
      </c>
    </row>
    <row r="59" customFormat="false" ht="15" hidden="false" customHeight="false" outlineLevel="0" collapsed="false">
      <c r="A59" s="4" t="str">
        <f aca="false">TradeMap_Datos!A60</f>
        <v>894</v>
      </c>
      <c r="B59" s="4" t="str">
        <f aca="false">TradeMap_Datos!B60</f>
        <v>Zambia</v>
      </c>
      <c r="C59" s="11" t="n">
        <f aca="false">IF(TradeMap_Datos!C60="",0,TradeMap_Datos!C60/TradeMap_Datos!C$5)</f>
        <v>3.24764213062212E-007</v>
      </c>
      <c r="D59" s="11" t="n">
        <f aca="false">IF(TradeMap_Datos!D60="",0,TradeMap_Datos!D60/TradeMap_Datos!D$5)</f>
        <v>5.08822592349344E-005</v>
      </c>
      <c r="E59" s="11" t="n">
        <f aca="false">IF(TradeMap_Datos!E60="",0,TradeMap_Datos!E60/TradeMap_Datos!E$5)</f>
        <v>0.000234582756145158</v>
      </c>
      <c r="F59" s="11" t="n">
        <f aca="false">IF(TradeMap_Datos!F60="",0,TradeMap_Datos!F60/TradeMap_Datos!F$5)</f>
        <v>0.000249442974476896</v>
      </c>
      <c r="G59" s="11" t="n">
        <f aca="false">IF(TradeMap_Datos!G60="",0,TradeMap_Datos!G60/TradeMap_Datos!G$5)</f>
        <v>0.000188709474640321</v>
      </c>
      <c r="H59" s="11" t="n">
        <f aca="false">IF(TradeMap_Datos!H60="",0,TradeMap_Datos!H60/TradeMap_Datos!H$5)</f>
        <v>0.000444738846930563</v>
      </c>
      <c r="I59" s="11" t="n">
        <f aca="false">IF(TradeMap_Datos!I60="",0,TradeMap_Datos!I60/TradeMap_Datos!I$5)</f>
        <v>0.000601360706004264</v>
      </c>
      <c r="J59" s="11" t="n">
        <f aca="false">IF(TradeMap_Datos!J60="",0,TradeMap_Datos!J60/TradeMap_Datos!J$5)</f>
        <v>0.000315478414456031</v>
      </c>
      <c r="K59" s="11" t="n">
        <f aca="false">IF(TradeMap_Datos!K60="",0,TradeMap_Datos!K60/TradeMap_Datos!K$5)</f>
        <v>0.000255097271201951</v>
      </c>
      <c r="L59" s="11" t="n">
        <f aca="false">IF(TradeMap_Datos!L60="",0,TradeMap_Datos!L60/TradeMap_Datos!L$5)</f>
        <v>0.000369222255907478</v>
      </c>
    </row>
    <row r="60" customFormat="false" ht="15" hidden="false" customHeight="false" outlineLevel="0" collapsed="false">
      <c r="A60" s="4" t="str">
        <f aca="false">TradeMap_Datos!A61</f>
        <v>388</v>
      </c>
      <c r="B60" s="4" t="str">
        <f aca="false">TradeMap_Datos!B61</f>
        <v>Jamaica</v>
      </c>
      <c r="C60" s="11" t="n">
        <f aca="false">IF(TradeMap_Datos!C61="",0,TradeMap_Datos!C61/TradeMap_Datos!C$5)</f>
        <v>0.000643357906076241</v>
      </c>
      <c r="D60" s="11" t="n">
        <f aca="false">IF(TradeMap_Datos!D61="",0,TradeMap_Datos!D61/TradeMap_Datos!D$5)</f>
        <v>0.000583710840556657</v>
      </c>
      <c r="E60" s="11" t="n">
        <f aca="false">IF(TradeMap_Datos!E61="",0,TradeMap_Datos!E61/TradeMap_Datos!E$5)</f>
        <v>0.000606173975469924</v>
      </c>
      <c r="F60" s="11" t="n">
        <f aca="false">IF(TradeMap_Datos!F61="",0,TradeMap_Datos!F61/TradeMap_Datos!F$5)</f>
        <v>0.000496859787608763</v>
      </c>
      <c r="G60" s="11" t="n">
        <f aca="false">IF(TradeMap_Datos!G61="",0,TradeMap_Datos!G61/TradeMap_Datos!G$5)</f>
        <v>0.000514639481171419</v>
      </c>
      <c r="H60" s="11" t="n">
        <f aca="false">IF(TradeMap_Datos!H61="",0,TradeMap_Datos!H61/TradeMap_Datos!H$5)</f>
        <v>0.000537896631584699</v>
      </c>
      <c r="I60" s="11" t="n">
        <f aca="false">IF(TradeMap_Datos!I61="",0,TradeMap_Datos!I61/TradeMap_Datos!I$5)</f>
        <v>0.000541337886007605</v>
      </c>
      <c r="J60" s="11" t="n">
        <f aca="false">IF(TradeMap_Datos!J61="",0,TradeMap_Datos!J61/TradeMap_Datos!J$5)</f>
        <v>0.000471994837131891</v>
      </c>
      <c r="K60" s="11" t="n">
        <f aca="false">IF(TradeMap_Datos!K61="",0,TradeMap_Datos!K61/TradeMap_Datos!K$5)</f>
        <v>0.000321688928343023</v>
      </c>
      <c r="L60" s="11" t="n">
        <f aca="false">IF(TradeMap_Datos!L61="",0,TradeMap_Datos!L61/TradeMap_Datos!L$5)</f>
        <v>0.000343361118995815</v>
      </c>
    </row>
    <row r="61" customFormat="false" ht="15" hidden="false" customHeight="false" outlineLevel="0" collapsed="false">
      <c r="A61" s="4" t="str">
        <f aca="false">TradeMap_Datos!A62</f>
        <v>686</v>
      </c>
      <c r="B61" s="4" t="str">
        <f aca="false">TradeMap_Datos!B62</f>
        <v>Senegal</v>
      </c>
      <c r="C61" s="11" t="n">
        <f aca="false">IF(TradeMap_Datos!C62="",0,TradeMap_Datos!C62/TradeMap_Datos!C$5)</f>
        <v>1.6887739079235E-005</v>
      </c>
      <c r="D61" s="11" t="n">
        <f aca="false">IF(TradeMap_Datos!D62="",0,TradeMap_Datos!D62/TradeMap_Datos!D$5)</f>
        <v>5.27088018741371E-005</v>
      </c>
      <c r="E61" s="11" t="n">
        <f aca="false">IF(TradeMap_Datos!E62="",0,TradeMap_Datos!E62/TradeMap_Datos!E$5)</f>
        <v>8.36712201336717E-005</v>
      </c>
      <c r="F61" s="11" t="n">
        <f aca="false">IF(TradeMap_Datos!F62="",0,TradeMap_Datos!F62/TradeMap_Datos!F$5)</f>
        <v>5.94340661208488E-005</v>
      </c>
      <c r="G61" s="11" t="n">
        <f aca="false">IF(TradeMap_Datos!G62="",0,TradeMap_Datos!G62/TradeMap_Datos!G$5)</f>
        <v>6.7735453811294E-005</v>
      </c>
      <c r="H61" s="11" t="n">
        <f aca="false">IF(TradeMap_Datos!H62="",0,TradeMap_Datos!H62/TradeMap_Datos!H$5)</f>
        <v>5.32970017973182E-005</v>
      </c>
      <c r="I61" s="11" t="n">
        <f aca="false">IF(TradeMap_Datos!I62="",0,TradeMap_Datos!I62/TradeMap_Datos!I$5)</f>
        <v>0.00025849450309882</v>
      </c>
      <c r="J61" s="11" t="n">
        <f aca="false">IF(TradeMap_Datos!J62="",0,TradeMap_Datos!J62/TradeMap_Datos!J$5)</f>
        <v>0.000236948473217622</v>
      </c>
      <c r="K61" s="11" t="n">
        <f aca="false">IF(TradeMap_Datos!K62="",0,TradeMap_Datos!K62/TradeMap_Datos!K$5)</f>
        <v>0.000273281916036629</v>
      </c>
      <c r="L61" s="11" t="n">
        <f aca="false">IF(TradeMap_Datos!L62="",0,TradeMap_Datos!L62/TradeMap_Datos!L$5)</f>
        <v>0.000285095665953876</v>
      </c>
    </row>
    <row r="62" customFormat="false" ht="15" hidden="false" customHeight="false" outlineLevel="0" collapsed="false">
      <c r="A62" s="4" t="str">
        <f aca="false">TradeMap_Datos!A63</f>
        <v>372</v>
      </c>
      <c r="B62" s="4" t="str">
        <f aca="false">TradeMap_Datos!B63</f>
        <v>Irlanda</v>
      </c>
      <c r="C62" s="11" t="n">
        <f aca="false">IF(TradeMap_Datos!C63="",0,TradeMap_Datos!C63/TradeMap_Datos!C$5)</f>
        <v>5.32613309422027E-005</v>
      </c>
      <c r="D62" s="11" t="n">
        <f aca="false">IF(TradeMap_Datos!D63="",0,TradeMap_Datos!D63/TradeMap_Datos!D$5)</f>
        <v>3.8096460760515E-005</v>
      </c>
      <c r="E62" s="11" t="n">
        <f aca="false">IF(TradeMap_Datos!E63="",0,TradeMap_Datos!E63/TradeMap_Datos!E$5)</f>
        <v>4.44898330620128E-005</v>
      </c>
      <c r="F62" s="11" t="n">
        <f aca="false">IF(TradeMap_Datos!F63="",0,TradeMap_Datos!F63/TradeMap_Datos!F$5)</f>
        <v>3.39944847888188E-005</v>
      </c>
      <c r="G62" s="11" t="n">
        <f aca="false">IF(TradeMap_Datos!G63="",0,TradeMap_Datos!G63/TradeMap_Datos!G$5)</f>
        <v>4.07412508163872E-005</v>
      </c>
      <c r="H62" s="11" t="n">
        <f aca="false">IF(TradeMap_Datos!H63="",0,TradeMap_Datos!H63/TradeMap_Datos!H$5)</f>
        <v>7.45710151197772E-005</v>
      </c>
      <c r="I62" s="11" t="n">
        <f aca="false">IF(TradeMap_Datos!I63="",0,TradeMap_Datos!I63/TradeMap_Datos!I$5)</f>
        <v>9.59798866927709E-005</v>
      </c>
      <c r="J62" s="11" t="n">
        <f aca="false">IF(TradeMap_Datos!J63="",0,TradeMap_Datos!J63/TradeMap_Datos!J$5)</f>
        <v>8.50514588499032E-005</v>
      </c>
      <c r="K62" s="11" t="n">
        <f aca="false">IF(TradeMap_Datos!K63="",0,TradeMap_Datos!K63/TradeMap_Datos!K$5)</f>
        <v>0.000110644599557473</v>
      </c>
      <c r="L62" s="11" t="n">
        <f aca="false">IF(TradeMap_Datos!L63="",0,TradeMap_Datos!L63/TradeMap_Datos!L$5)</f>
        <v>0.000254560829600346</v>
      </c>
    </row>
    <row r="63" customFormat="false" ht="15" hidden="false" customHeight="false" outlineLevel="0" collapsed="false">
      <c r="A63" s="4" t="str">
        <f aca="false">TradeMap_Datos!A64</f>
        <v>591</v>
      </c>
      <c r="B63" s="4" t="str">
        <f aca="false">TradeMap_Datos!B64</f>
        <v>Panamá</v>
      </c>
      <c r="C63" s="11" t="n">
        <f aca="false">IF(TradeMap_Datos!C64="",0,TradeMap_Datos!C64/TradeMap_Datos!C$5)</f>
        <v>0</v>
      </c>
      <c r="D63" s="11" t="n">
        <f aca="false">IF(TradeMap_Datos!D64="",0,TradeMap_Datos!D64/TradeMap_Datos!D$5)</f>
        <v>0</v>
      </c>
      <c r="E63" s="11" t="n">
        <f aca="false">IF(TradeMap_Datos!E64="",0,TradeMap_Datos!E64/TradeMap_Datos!E$5)</f>
        <v>0</v>
      </c>
      <c r="F63" s="11" t="n">
        <f aca="false">IF(TradeMap_Datos!F64="",0,TradeMap_Datos!F64/TradeMap_Datos!F$5)</f>
        <v>0</v>
      </c>
      <c r="G63" s="11" t="n">
        <f aca="false">IF(TradeMap_Datos!G64="",0,TradeMap_Datos!G64/TradeMap_Datos!G$5)</f>
        <v>0</v>
      </c>
      <c r="H63" s="11" t="n">
        <f aca="false">IF(TradeMap_Datos!H64="",0,TradeMap_Datos!H64/TradeMap_Datos!H$5)</f>
        <v>0</v>
      </c>
      <c r="I63" s="11" t="n">
        <f aca="false">IF(TradeMap_Datos!I64="",0,TradeMap_Datos!I64/TradeMap_Datos!I$5)</f>
        <v>0</v>
      </c>
      <c r="J63" s="11" t="n">
        <f aca="false">IF(TradeMap_Datos!J64="",0,TradeMap_Datos!J64/TradeMap_Datos!J$5)</f>
        <v>8.42362691484664E-005</v>
      </c>
      <c r="K63" s="11" t="n">
        <f aca="false">IF(TradeMap_Datos!K64="",0,TradeMap_Datos!K64/TradeMap_Datos!K$5)</f>
        <v>0.000127548635600976</v>
      </c>
      <c r="L63" s="11" t="n">
        <f aca="false">IF(TradeMap_Datos!L64="",0,TradeMap_Datos!L64/TradeMap_Datos!L$5)</f>
        <v>0.000243032370977074</v>
      </c>
    </row>
    <row r="64" customFormat="false" ht="15" hidden="false" customHeight="false" outlineLevel="0" collapsed="false">
      <c r="A64" s="4" t="str">
        <f aca="false">TradeMap_Datos!A65</f>
        <v>024</v>
      </c>
      <c r="B64" s="4" t="str">
        <f aca="false">TradeMap_Datos!B65</f>
        <v>Angola</v>
      </c>
      <c r="C64" s="11" t="n">
        <f aca="false">IF(TradeMap_Datos!C65="",0,TradeMap_Datos!C65/TradeMap_Datos!C$5)</f>
        <v>0</v>
      </c>
      <c r="D64" s="11" t="n">
        <f aca="false">IF(TradeMap_Datos!D65="",0,TradeMap_Datos!D65/TradeMap_Datos!D$5)</f>
        <v>2.60934662743253E-007</v>
      </c>
      <c r="E64" s="11" t="n">
        <f aca="false">IF(TradeMap_Datos!E65="",0,TradeMap_Datos!E65/TradeMap_Datos!E$5)</f>
        <v>1.03641088383098E-005</v>
      </c>
      <c r="F64" s="11" t="n">
        <f aca="false">IF(TradeMap_Datos!F65="",0,TradeMap_Datos!F65/TradeMap_Datos!F$5)</f>
        <v>5.17796788174062E-006</v>
      </c>
      <c r="G64" s="11" t="n">
        <f aca="false">IF(TradeMap_Datos!G65="",0,TradeMap_Datos!G65/TradeMap_Datos!G$5)</f>
        <v>1.4746833117588E-005</v>
      </c>
      <c r="H64" s="11" t="n">
        <f aca="false">IF(TradeMap_Datos!H65="",0,TradeMap_Datos!H65/TradeMap_Datos!H$5)</f>
        <v>9.00226669013526E-005</v>
      </c>
      <c r="I64" s="11" t="n">
        <f aca="false">IF(TradeMap_Datos!I65="",0,TradeMap_Datos!I65/TradeMap_Datos!I$5)</f>
        <v>0.000208664237441216</v>
      </c>
      <c r="J64" s="11" t="n">
        <f aca="false">IF(TradeMap_Datos!J65="",0,TradeMap_Datos!J65/TradeMap_Datos!J$5)</f>
        <v>0.000127713053225094</v>
      </c>
      <c r="K64" s="11" t="n">
        <f aca="false">IF(TradeMap_Datos!K65="",0,TradeMap_Datos!K65/TradeMap_Datos!K$5)</f>
        <v>9.42528070304398E-005</v>
      </c>
      <c r="L64" s="11" t="n">
        <f aca="false">IF(TradeMap_Datos!L65="",0,TradeMap_Datos!L65/TradeMap_Datos!L$5)</f>
        <v>0.00023337339213055</v>
      </c>
    </row>
    <row r="65" customFormat="false" ht="15" hidden="false" customHeight="false" outlineLevel="0" collapsed="false">
      <c r="A65" s="4" t="str">
        <f aca="false">TradeMap_Datos!A66</f>
        <v>208</v>
      </c>
      <c r="B65" s="4" t="str">
        <f aca="false">TradeMap_Datos!B66</f>
        <v>Dinamarca</v>
      </c>
      <c r="C65" s="11" t="n">
        <f aca="false">IF(TradeMap_Datos!C66="",0,TradeMap_Datos!C66/TradeMap_Datos!C$5)</f>
        <v>0.000394913283083649</v>
      </c>
      <c r="D65" s="11" t="n">
        <f aca="false">IF(TradeMap_Datos!D66="",0,TradeMap_Datos!D66/TradeMap_Datos!D$5)</f>
        <v>0.000310251314001728</v>
      </c>
      <c r="E65" s="11" t="n">
        <f aca="false">IF(TradeMap_Datos!E66="",0,TradeMap_Datos!E66/TradeMap_Datos!E$5)</f>
        <v>0.000258344371530551</v>
      </c>
      <c r="F65" s="11" t="n">
        <f aca="false">IF(TradeMap_Datos!F66="",0,TradeMap_Datos!F66/TradeMap_Datos!F$5)</f>
        <v>0.000149935939532141</v>
      </c>
      <c r="G65" s="11" t="n">
        <f aca="false">IF(TradeMap_Datos!G66="",0,TradeMap_Datos!G66/TradeMap_Datos!G$5)</f>
        <v>0.000248446646082754</v>
      </c>
      <c r="H65" s="11" t="n">
        <f aca="false">IF(TradeMap_Datos!H66="",0,TradeMap_Datos!H66/TradeMap_Datos!H$5)</f>
        <v>0.000111296680223812</v>
      </c>
      <c r="I65" s="11" t="n">
        <f aca="false">IF(TradeMap_Datos!I66="",0,TradeMap_Datos!I66/TradeMap_Datos!I$5)</f>
        <v>8.7769217919643E-005</v>
      </c>
      <c r="J65" s="11" t="n">
        <f aca="false">IF(TradeMap_Datos!J66="",0,TradeMap_Datos!J66/TradeMap_Datos!J$5)</f>
        <v>0.000106246391087259</v>
      </c>
      <c r="K65" s="11" t="n">
        <f aca="false">IF(TradeMap_Datos!K66="",0,TradeMap_Datos!K66/TradeMap_Datos!K$5)</f>
        <v>0.000184151544170886</v>
      </c>
      <c r="L65" s="11" t="n">
        <f aca="false">IF(TradeMap_Datos!L66="",0,TradeMap_Datos!L66/TradeMap_Datos!L$5)</f>
        <v>0.000227764952800309</v>
      </c>
    </row>
    <row r="66" customFormat="false" ht="15" hidden="false" customHeight="false" outlineLevel="0" collapsed="false">
      <c r="A66" s="4" t="str">
        <f aca="false">TradeMap_Datos!A67</f>
        <v>780</v>
      </c>
      <c r="B66" s="4" t="str">
        <f aca="false">TradeMap_Datos!B67</f>
        <v>Trinidad y Tobago</v>
      </c>
      <c r="C66" s="11" t="n">
        <f aca="false">IF(TradeMap_Datos!C67="",0,TradeMap_Datos!C67/TradeMap_Datos!C$5)</f>
        <v>0.000126008514668138</v>
      </c>
      <c r="D66" s="11" t="n">
        <f aca="false">IF(TradeMap_Datos!D67="",0,TradeMap_Datos!D67/TradeMap_Datos!D$5)</f>
        <v>6.54946003485565E-005</v>
      </c>
      <c r="E66" s="11" t="n">
        <f aca="false">IF(TradeMap_Datos!E67="",0,TradeMap_Datos!E67/TradeMap_Datos!E$5)</f>
        <v>6.01623878906764E-005</v>
      </c>
      <c r="F66" s="11" t="n">
        <f aca="false">IF(TradeMap_Datos!F67="",0,TradeMap_Datos!F67/TradeMap_Datos!F$5)</f>
        <v>5.24550659324158E-005</v>
      </c>
      <c r="G66" s="11" t="n">
        <f aca="false">IF(TradeMap_Datos!G67="",0,TradeMap_Datos!G67/TradeMap_Datos!G$5)</f>
        <v>8.17324479568013E-005</v>
      </c>
      <c r="H66" s="11" t="n">
        <f aca="false">IF(TradeMap_Datos!H67="",0,TradeMap_Datos!H67/TradeMap_Datos!H$5)</f>
        <v>0.000112192428153178</v>
      </c>
      <c r="I66" s="11" t="n">
        <f aca="false">IF(TradeMap_Datos!I67="",0,TradeMap_Datos!I67/TradeMap_Datos!I$5)</f>
        <v>0.000105889314522408</v>
      </c>
      <c r="J66" s="11" t="n">
        <f aca="false">IF(TradeMap_Datos!J67="",0,TradeMap_Datos!J67/TradeMap_Datos!J$5)</f>
        <v>0.000107605040589654</v>
      </c>
      <c r="K66" s="11" t="n">
        <f aca="false">IF(TradeMap_Datos!K67="",0,TradeMap_Datos!K67/TradeMap_Datos!K$5)</f>
        <v>0.000134207801315083</v>
      </c>
      <c r="L66" s="11" t="n">
        <f aca="false">IF(TradeMap_Datos!L67="",0,TradeMap_Datos!L67/TradeMap_Datos!L$5)</f>
        <v>0.000223091253358443</v>
      </c>
    </row>
    <row r="67" customFormat="false" ht="15" hidden="false" customHeight="false" outlineLevel="0" collapsed="false">
      <c r="A67" s="4" t="str">
        <f aca="false">TradeMap_Datos!A68</f>
        <v>398</v>
      </c>
      <c r="B67" s="4" t="str">
        <f aca="false">TradeMap_Datos!B68</f>
        <v>Kazajstán</v>
      </c>
      <c r="C67" s="11" t="n">
        <f aca="false">IF(TradeMap_Datos!C68="",0,TradeMap_Datos!C68/TradeMap_Datos!C$5)</f>
        <v>7.95672322002418E-005</v>
      </c>
      <c r="D67" s="11" t="n">
        <f aca="false">IF(TradeMap_Datos!D68="",0,TradeMap_Datos!D68/TradeMap_Datos!D$5)</f>
        <v>1.12201904979599E-005</v>
      </c>
      <c r="E67" s="11" t="n">
        <f aca="false">IF(TradeMap_Datos!E68="",0,TradeMap_Datos!E68/TradeMap_Datos!E$5)</f>
        <v>1.5166988543868E-006</v>
      </c>
      <c r="F67" s="11" t="n">
        <f aca="false">IF(TradeMap_Datos!F68="",0,TradeMap_Datos!F68/TradeMap_Datos!F$5)</f>
        <v>6.12350984275412E-005</v>
      </c>
      <c r="G67" s="11" t="n">
        <f aca="false">IF(TradeMap_Datos!G68="",0,TradeMap_Datos!G68/TradeMap_Datos!G$5)</f>
        <v>3.69920559559835E-005</v>
      </c>
      <c r="H67" s="11" t="n">
        <f aca="false">IF(TradeMap_Datos!H68="",0,TradeMap_Datos!H68/TradeMap_Datos!H$5)</f>
        <v>6.13587331616185E-005</v>
      </c>
      <c r="I67" s="11" t="n">
        <f aca="false">IF(TradeMap_Datos!I68="",0,TradeMap_Datos!I68/TradeMap_Datos!I$5)</f>
        <v>2.40657533005473E-005</v>
      </c>
      <c r="J67" s="11" t="n">
        <f aca="false">IF(TradeMap_Datos!J68="",0,TradeMap_Datos!J68/TradeMap_Datos!J$5)</f>
        <v>2.69012601474135E-005</v>
      </c>
      <c r="K67" s="11" t="n">
        <f aca="false">IF(TradeMap_Datos!K68="",0,TradeMap_Datos!K68/TradeMap_Datos!K$5)</f>
        <v>3.20152197793614E-005</v>
      </c>
      <c r="L67" s="11" t="n">
        <f aca="false">IF(TradeMap_Datos!L68="",0,TradeMap_Datos!L68/TradeMap_Datos!L$5)</f>
        <v>0.0002000343361119</v>
      </c>
    </row>
    <row r="68" customFormat="false" ht="15" hidden="false" customHeight="false" outlineLevel="0" collapsed="false">
      <c r="A68" s="4" t="str">
        <f aca="false">TradeMap_Datos!A69</f>
        <v>716</v>
      </c>
      <c r="B68" s="4" t="str">
        <f aca="false">TradeMap_Datos!B69</f>
        <v>Zimbabwe</v>
      </c>
      <c r="C68" s="11" t="n">
        <f aca="false">IF(TradeMap_Datos!C69="",0,TradeMap_Datos!C69/TradeMap_Datos!C$5)</f>
        <v>2.37077875535414E-005</v>
      </c>
      <c r="D68" s="11" t="n">
        <f aca="false">IF(TradeMap_Datos!D69="",0,TradeMap_Datos!D69/TradeMap_Datos!D$5)</f>
        <v>8.58475040425303E-005</v>
      </c>
      <c r="E68" s="11" t="n">
        <f aca="false">IF(TradeMap_Datos!E69="",0,TradeMap_Datos!E69/TradeMap_Datos!E$5)</f>
        <v>0.000146867005733122</v>
      </c>
      <c r="F68" s="11" t="n">
        <f aca="false">IF(TradeMap_Datos!F69="",0,TradeMap_Datos!F69/TradeMap_Datos!F$5)</f>
        <v>0.000105810648018178</v>
      </c>
      <c r="G68" s="11" t="n">
        <f aca="false">IF(TradeMap_Datos!G69="",0,TradeMap_Datos!G69/TradeMap_Datos!G$5)</f>
        <v>0.000161965217969441</v>
      </c>
      <c r="H68" s="11" t="n">
        <f aca="false">IF(TradeMap_Datos!H69="",0,TradeMap_Datos!H69/TradeMap_Datos!H$5)</f>
        <v>0.000189450687061056</v>
      </c>
      <c r="I68" s="11" t="n">
        <f aca="false">IF(TradeMap_Datos!I69="",0,TradeMap_Datos!I69/TradeMap_Datos!I$5)</f>
        <v>0.000162797742915467</v>
      </c>
      <c r="J68" s="11" t="n">
        <f aca="false">IF(TradeMap_Datos!J69="",0,TradeMap_Datos!J69/TradeMap_Datos!J$5)</f>
        <v>0.000108963690092049</v>
      </c>
      <c r="K68" s="11" t="n">
        <f aca="false">IF(TradeMap_Datos!K69="",0,TradeMap_Datos!K69/TradeMap_Datos!K$5)</f>
        <v>0.00010526604263454</v>
      </c>
      <c r="L68" s="11" t="n">
        <f aca="false">IF(TradeMap_Datos!L69="",0,TradeMap_Datos!L69/TradeMap_Datos!L$5)</f>
        <v>0.000164514220353712</v>
      </c>
    </row>
    <row r="69" customFormat="false" ht="15" hidden="false" customHeight="false" outlineLevel="0" collapsed="false">
      <c r="A69" s="4" t="str">
        <f aca="false">TradeMap_Datos!A70</f>
        <v>642</v>
      </c>
      <c r="B69" s="4" t="str">
        <f aca="false">TradeMap_Datos!B70</f>
        <v>Rumania</v>
      </c>
      <c r="C69" s="11" t="n">
        <f aca="false">IF(TradeMap_Datos!C70="",0,TradeMap_Datos!C70/TradeMap_Datos!C$5)</f>
        <v>6.72261921038778E-005</v>
      </c>
      <c r="D69" s="11" t="n">
        <f aca="false">IF(TradeMap_Datos!D70="",0,TradeMap_Datos!D70/TradeMap_Datos!D$5)</f>
        <v>0.000188655761163372</v>
      </c>
      <c r="E69" s="11" t="n">
        <f aca="false">IF(TradeMap_Datos!E70="",0,TradeMap_Datos!E70/TradeMap_Datos!E$5)</f>
        <v>0.000176442633393664</v>
      </c>
      <c r="F69" s="11" t="n">
        <f aca="false">IF(TradeMap_Datos!F70="",0,TradeMap_Datos!F70/TradeMap_Datos!F$5)</f>
        <v>0.000230307006218289</v>
      </c>
      <c r="G69" s="11" t="n">
        <f aca="false">IF(TradeMap_Datos!G70="",0,TradeMap_Datos!G70/TradeMap_Datos!G$5)</f>
        <v>0.000172213017254545</v>
      </c>
      <c r="H69" s="11" t="n">
        <f aca="false">IF(TradeMap_Datos!H70="",0,TradeMap_Datos!H70/TradeMap_Datos!H$5)</f>
        <v>0.000220577927606548</v>
      </c>
      <c r="I69" s="11" t="n">
        <f aca="false">IF(TradeMap_Datos!I70="",0,TradeMap_Datos!I70/TradeMap_Datos!I$5)</f>
        <v>0.000144677646312702</v>
      </c>
      <c r="J69" s="11" t="n">
        <f aca="false">IF(TradeMap_Datos!J70="",0,TradeMap_Datos!J70/TradeMap_Datos!J$5)</f>
        <v>7.90734010393669E-005</v>
      </c>
      <c r="K69" s="11" t="n">
        <f aca="false">IF(TradeMap_Datos!K70="",0,TradeMap_Datos!K70/TradeMap_Datos!K$5)</f>
        <v>0.000100143607469842</v>
      </c>
      <c r="L69" s="11" t="n">
        <f aca="false">IF(TradeMap_Datos!L70="",0,TradeMap_Datos!L70/TradeMap_Datos!L$5)</f>
        <v>0.000136472023702511</v>
      </c>
    </row>
    <row r="70" customFormat="false" ht="15" hidden="false" customHeight="false" outlineLevel="0" collapsed="false">
      <c r="A70" s="4" t="str">
        <f aca="false">TradeMap_Datos!A71</f>
        <v>392</v>
      </c>
      <c r="B70" s="4" t="str">
        <f aca="false">TradeMap_Datos!B71</f>
        <v>Japón</v>
      </c>
      <c r="C70" s="11" t="n">
        <f aca="false">IF(TradeMap_Datos!C71="",0,TradeMap_Datos!C71/TradeMap_Datos!C$5)</f>
        <v>8.54129880353616E-005</v>
      </c>
      <c r="D70" s="11" t="n">
        <f aca="false">IF(TradeMap_Datos!D71="",0,TradeMap_Datos!D71/TradeMap_Datos!D$5)</f>
        <v>8.29772227523545E-005</v>
      </c>
      <c r="E70" s="11" t="n">
        <f aca="false">IF(TradeMap_Datos!E71="",0,TradeMap_Datos!E71/TradeMap_Datos!E$5)</f>
        <v>0.000107685618661463</v>
      </c>
      <c r="F70" s="11" t="n">
        <f aca="false">IF(TradeMap_Datos!F71="",0,TradeMap_Datos!F71/TradeMap_Datos!F$5)</f>
        <v>8.37480022611961E-005</v>
      </c>
      <c r="G70" s="11" t="n">
        <f aca="false">IF(TradeMap_Datos!G71="",0,TradeMap_Datos!G71/TradeMap_Datos!G$5)</f>
        <v>8.82310523815011E-005</v>
      </c>
      <c r="H70" s="11" t="n">
        <f aca="false">IF(TradeMap_Datos!H71="",0,TradeMap_Datos!H71/TradeMap_Datos!H$5)</f>
        <v>0.000117119041764695</v>
      </c>
      <c r="I70" s="11" t="n">
        <f aca="false">IF(TradeMap_Datos!I71="",0,TradeMap_Datos!I71/TradeMap_Datos!I$5)</f>
        <v>0.000146093278859793</v>
      </c>
      <c r="J70" s="11" t="n">
        <f aca="false">IF(TradeMap_Datos!J71="",0,TradeMap_Datos!J71/TradeMap_Datos!J$5)</f>
        <v>0.000144288577154309</v>
      </c>
      <c r="K70" s="11" t="n">
        <f aca="false">IF(TradeMap_Datos!K71="",0,TradeMap_Datos!K71/TradeMap_Datos!K$5)</f>
        <v>0.000156490394281518</v>
      </c>
      <c r="L70" s="11" t="n">
        <f aca="false">IF(TradeMap_Datos!L71="",0,TradeMap_Datos!L71/TradeMap_Datos!L$5)</f>
        <v>0.000133044644111809</v>
      </c>
    </row>
    <row r="71" customFormat="false" ht="15" hidden="false" customHeight="false" outlineLevel="0" collapsed="false">
      <c r="A71" s="4" t="str">
        <f aca="false">TradeMap_Datos!A72</f>
        <v>124</v>
      </c>
      <c r="B71" s="4" t="str">
        <f aca="false">TradeMap_Datos!B72</f>
        <v>Canadá</v>
      </c>
      <c r="C71" s="11" t="n">
        <f aca="false">IF(TradeMap_Datos!C72="",0,TradeMap_Datos!C72/TradeMap_Datos!C$5)</f>
        <v>0.00023058259127417</v>
      </c>
      <c r="D71" s="11" t="n">
        <f aca="false">IF(TradeMap_Datos!D72="",0,TradeMap_Datos!D72/TradeMap_Datos!D$5)</f>
        <v>0.00012994546204614</v>
      </c>
      <c r="E71" s="11" t="n">
        <f aca="false">IF(TradeMap_Datos!E72="",0,TradeMap_Datos!E72/TradeMap_Datos!E$5)</f>
        <v>0.000208798875620583</v>
      </c>
      <c r="F71" s="11" t="n">
        <f aca="false">IF(TradeMap_Datos!F72="",0,TradeMap_Datos!F72/TradeMap_Datos!F$5)</f>
        <v>9.92819059064179E-005</v>
      </c>
      <c r="G71" s="11" t="n">
        <f aca="false">IF(TradeMap_Datos!G72="",0,TradeMap_Datos!G72/TradeMap_Datos!G$5)</f>
        <v>0.000105227402415331</v>
      </c>
      <c r="H71" s="11" t="n">
        <f aca="false">IF(TradeMap_Datos!H72="",0,TradeMap_Datos!H72/TradeMap_Datos!H$5)</f>
        <v>9.33817216364777E-005</v>
      </c>
      <c r="I71" s="11" t="n">
        <f aca="false">IF(TradeMap_Datos!I72="",0,TradeMap_Datos!I72/TradeMap_Datos!I$5)</f>
        <v>0.000115515615842627</v>
      </c>
      <c r="J71" s="11" t="n">
        <f aca="false">IF(TradeMap_Datos!J72="",0,TradeMap_Datos!J72/TradeMap_Datos!J$5)</f>
        <v>9.53771950681023E-005</v>
      </c>
      <c r="K71" s="11" t="n">
        <f aca="false">IF(TradeMap_Datos!K72="",0,TradeMap_Datos!K72/TradeMap_Datos!K$5)</f>
        <v>8.47763019757489E-005</v>
      </c>
      <c r="L71" s="11" t="n">
        <f aca="false">IF(TradeMap_Datos!L72="",0,TradeMap_Datos!L72/TradeMap_Datos!L$5)</f>
        <v>0.00011123404671643</v>
      </c>
    </row>
    <row r="72" customFormat="false" ht="15" hidden="false" customHeight="false" outlineLevel="0" collapsed="false">
      <c r="A72" s="4" t="str">
        <f aca="false">TradeMap_Datos!A73</f>
        <v>752</v>
      </c>
      <c r="B72" s="4" t="str">
        <f aca="false">TradeMap_Datos!B73</f>
        <v>Suecia</v>
      </c>
      <c r="C72" s="11" t="n">
        <f aca="false">IF(TradeMap_Datos!C73="",0,TradeMap_Datos!C73/TradeMap_Datos!C$5)</f>
        <v>0.00110971931603358</v>
      </c>
      <c r="D72" s="11" t="n">
        <f aca="false">IF(TradeMap_Datos!D73="",0,TradeMap_Datos!D73/TradeMap_Datos!D$5)</f>
        <v>0.00093362422329536</v>
      </c>
      <c r="E72" s="11" t="n">
        <f aca="false">IF(TradeMap_Datos!E73="",0,TradeMap_Datos!E73/TradeMap_Datos!E$5)</f>
        <v>0.000962850989393219</v>
      </c>
      <c r="F72" s="11" t="n">
        <f aca="false">IF(TradeMap_Datos!F73="",0,TradeMap_Datos!F73/TradeMap_Datos!F$5)</f>
        <v>0.00086494576528902</v>
      </c>
      <c r="G72" s="11" t="n">
        <f aca="false">IF(TradeMap_Datos!G73="",0,TradeMap_Datos!G73/TradeMap_Datos!G$5)</f>
        <v>0.000109726436247816</v>
      </c>
      <c r="H72" s="11" t="n">
        <f aca="false">IF(TradeMap_Datos!H73="",0,TradeMap_Datos!H73/TradeMap_Datos!H$5)</f>
        <v>0.000758026685226564</v>
      </c>
      <c r="I72" s="11" t="n">
        <f aca="false">IF(TradeMap_Datos!I73="",0,TradeMap_Datos!I73/TradeMap_Datos!I$5)</f>
        <v>0.00117044498993485</v>
      </c>
      <c r="J72" s="11" t="n">
        <f aca="false">IF(TradeMap_Datos!J73="",0,TradeMap_Datos!J73/TradeMap_Datos!J$5)</f>
        <v>0.000791005740294148</v>
      </c>
      <c r="K72" s="11" t="n">
        <f aca="false">IF(TradeMap_Datos!K73="",0,TradeMap_Datos!K73/TradeMap_Datos!K$5)</f>
        <v>0.000215654520433778</v>
      </c>
      <c r="L72" s="11" t="n">
        <f aca="false">IF(TradeMap_Datos!L73="",0,TradeMap_Datos!L73/TradeMap_Datos!L$5)</f>
        <v>0.000100951907944323</v>
      </c>
    </row>
    <row r="73" customFormat="false" ht="15" hidden="false" customHeight="false" outlineLevel="0" collapsed="false">
      <c r="A73" s="4" t="str">
        <f aca="false">TradeMap_Datos!A74</f>
        <v>384</v>
      </c>
      <c r="B73" s="4" t="str">
        <f aca="false">TradeMap_Datos!B74</f>
        <v>Côte d'Ivoire</v>
      </c>
      <c r="C73" s="11" t="n">
        <f aca="false">IF(TradeMap_Datos!C74="",0,TradeMap_Datos!C74/TradeMap_Datos!C$5)</f>
        <v>9.25578007227303E-005</v>
      </c>
      <c r="D73" s="11" t="n">
        <f aca="false">IF(TradeMap_Datos!D74="",0,TradeMap_Datos!D74/TradeMap_Datos!D$5)</f>
        <v>6.13196457446645E-005</v>
      </c>
      <c r="E73" s="11" t="n">
        <f aca="false">IF(TradeMap_Datos!E74="",0,TradeMap_Datos!E74/TradeMap_Datos!E$5)</f>
        <v>0.000119819209496557</v>
      </c>
      <c r="F73" s="11" t="n">
        <f aca="false">IF(TradeMap_Datos!F74="",0,TradeMap_Datos!F74/TradeMap_Datos!F$5)</f>
        <v>0.00010828706743988</v>
      </c>
      <c r="G73" s="11" t="n">
        <f aca="false">IF(TradeMap_Datos!G74="",0,TradeMap_Datos!G74/TradeMap_Datos!G$5)</f>
        <v>0.000110476275219897</v>
      </c>
      <c r="H73" s="11" t="n">
        <f aca="false">IF(TradeMap_Datos!H74="",0,TradeMap_Datos!H74/TradeMap_Datos!H$5)</f>
        <v>9.89801461950196E-005</v>
      </c>
      <c r="I73" s="11" t="n">
        <f aca="false">IF(TradeMap_Datos!I74="",0,TradeMap_Datos!I74/TradeMap_Datos!I$5)</f>
        <v>0.000109569959144845</v>
      </c>
      <c r="J73" s="11" t="n">
        <f aca="false">IF(TradeMap_Datos!J74="",0,TradeMap_Datos!J74/TradeMap_Datos!J$5)</f>
        <v>7.98885907408036E-005</v>
      </c>
      <c r="K73" s="11" t="n">
        <f aca="false">IF(TradeMap_Datos!K74="",0,TradeMap_Datos!K74/TradeMap_Datos!K$5)</f>
        <v>7.78610145034068E-005</v>
      </c>
      <c r="L73" s="11" t="n">
        <f aca="false">IF(TradeMap_Datos!L74="",0,TradeMap_Datos!L74/TradeMap_Datos!L$5)</f>
        <v>0.000100328748018741</v>
      </c>
    </row>
    <row r="74" customFormat="false" ht="15" hidden="false" customHeight="false" outlineLevel="0" collapsed="false">
      <c r="A74" s="4" t="str">
        <f aca="false">TradeMap_Datos!A75</f>
        <v>188</v>
      </c>
      <c r="B74" s="4" t="str">
        <f aca="false">TradeMap_Datos!B75</f>
        <v>Costa Rica</v>
      </c>
      <c r="C74" s="11" t="n">
        <f aca="false">IF(TradeMap_Datos!C75="",0,TradeMap_Datos!C75/TradeMap_Datos!C$5)</f>
        <v>0.000218891079603931</v>
      </c>
      <c r="D74" s="11" t="n">
        <f aca="false">IF(TradeMap_Datos!D75="",0,TradeMap_Datos!D75/TradeMap_Datos!D$5)</f>
        <v>0.000115854990258004</v>
      </c>
      <c r="E74" s="11" t="n">
        <f aca="false">IF(TradeMap_Datos!E75="",0,TradeMap_Datos!E75/TradeMap_Datos!E$5)</f>
        <v>5.4348375615527E-005</v>
      </c>
      <c r="F74" s="11" t="n">
        <f aca="false">IF(TradeMap_Datos!F75="",0,TradeMap_Datos!F75/TradeMap_Datos!F$5)</f>
        <v>0.000147459520110439</v>
      </c>
      <c r="G74" s="11" t="n">
        <f aca="false">IF(TradeMap_Datos!G75="",0,TradeMap_Datos!G75/TradeMap_Datos!G$5)</f>
        <v>0.000127722571577754</v>
      </c>
      <c r="H74" s="11" t="n">
        <f aca="false">IF(TradeMap_Datos!H75="",0,TradeMap_Datos!H75/TradeMap_Datos!H$5)</f>
        <v>5.44166867090266E-005</v>
      </c>
      <c r="I74" s="11" t="n">
        <f aca="false">IF(TradeMap_Datos!I75="",0,TradeMap_Datos!I75/TradeMap_Datos!I$5)</f>
        <v>0.000224519321968635</v>
      </c>
      <c r="J74" s="11" t="n">
        <f aca="false">IF(TradeMap_Datos!J75="",0,TradeMap_Datos!J75/TradeMap_Datos!J$5)</f>
        <v>0.000132604191433715</v>
      </c>
      <c r="K74" s="11" t="n">
        <f aca="false">IF(TradeMap_Datos!K75="",0,TradeMap_Datos!K75/TradeMap_Datos!K$5)</f>
        <v>0.000110132356041003</v>
      </c>
      <c r="L74" s="11" t="n">
        <f aca="false">IF(TradeMap_Datos!L75="",0,TradeMap_Datos!L75/TradeMap_Datos!L$5)</f>
        <v>8.97350292838428E-005</v>
      </c>
    </row>
    <row r="75" customFormat="false" ht="15" hidden="false" customHeight="false" outlineLevel="0" collapsed="false">
      <c r="A75" s="4" t="str">
        <f aca="false">TradeMap_Datos!A76</f>
        <v>442</v>
      </c>
      <c r="B75" s="4" t="str">
        <f aca="false">TradeMap_Datos!B76</f>
        <v>Luxemburgo</v>
      </c>
      <c r="C75" s="11" t="n">
        <f aca="false">IF(TradeMap_Datos!C76="",0,TradeMap_Datos!C76/TradeMap_Datos!C$5)</f>
        <v>4.90393961723939E-005</v>
      </c>
      <c r="D75" s="11" t="n">
        <f aca="false">IF(TradeMap_Datos!D76="",0,TradeMap_Datos!D76/TradeMap_Datos!D$5)</f>
        <v>4.2271415364407E-005</v>
      </c>
      <c r="E75" s="11" t="n">
        <f aca="false">IF(TradeMap_Datos!E76="",0,TradeMap_Datos!E76/TradeMap_Datos!E$5)</f>
        <v>5.6876207039505E-005</v>
      </c>
      <c r="F75" s="11" t="n">
        <f aca="false">IF(TradeMap_Datos!F76="",0,TradeMap_Datos!F76/TradeMap_Datos!F$5)</f>
        <v>5.24550659324158E-005</v>
      </c>
      <c r="G75" s="11" t="n">
        <f aca="false">IF(TradeMap_Datos!G76="",0,TradeMap_Datos!G76/TradeMap_Datos!G$5)</f>
        <v>5.09890501014907E-005</v>
      </c>
      <c r="H75" s="11" t="n">
        <f aca="false">IF(TradeMap_Datos!H76="",0,TradeMap_Datos!H76/TradeMap_Datos!H$5)</f>
        <v>5.6879993514785E-005</v>
      </c>
      <c r="I75" s="11" t="n">
        <f aca="false">IF(TradeMap_Datos!I76="",0,TradeMap_Datos!I76/TradeMap_Datos!I$5)</f>
        <v>6.8233488769787E-005</v>
      </c>
      <c r="J75" s="11" t="n">
        <f aca="false">IF(TradeMap_Datos!J76="",0,TradeMap_Datos!J76/TradeMap_Datos!J$5)</f>
        <v>7.01063143235624E-005</v>
      </c>
      <c r="K75" s="11" t="n">
        <f aca="false">IF(TradeMap_Datos!K76="",0,TradeMap_Datos!K76/TradeMap_Datos!K$5)</f>
        <v>6.27498307675483E-005</v>
      </c>
      <c r="L75" s="11" t="n">
        <f aca="false">IF(TradeMap_Datos!L76="",0,TradeMap_Datos!L76/TradeMap_Datos!L$5)</f>
        <v>7.78949906977802E-005</v>
      </c>
    </row>
    <row r="76" customFormat="false" ht="15" hidden="false" customHeight="false" outlineLevel="0" collapsed="false">
      <c r="A76" s="4" t="str">
        <f aca="false">TradeMap_Datos!A77</f>
        <v>328</v>
      </c>
      <c r="B76" s="4" t="str">
        <f aca="false">TradeMap_Datos!B77</f>
        <v>Guyana</v>
      </c>
      <c r="C76" s="11" t="n">
        <f aca="false">IF(TradeMap_Datos!C77="",0,TradeMap_Datos!C77/TradeMap_Datos!C$5)</f>
        <v>7.24224195128732E-005</v>
      </c>
      <c r="D76" s="11" t="n">
        <f aca="false">IF(TradeMap_Datos!D77="",0,TradeMap_Datos!D77/TradeMap_Datos!D$5)</f>
        <v>6.52336656858133E-005</v>
      </c>
      <c r="E76" s="11" t="n">
        <f aca="false">IF(TradeMap_Datos!E77="",0,TradeMap_Datos!E77/TradeMap_Datos!E$5)</f>
        <v>3.43785073661008E-005</v>
      </c>
      <c r="F76" s="11" t="n">
        <f aca="false">IF(TradeMap_Datos!F77="",0,TradeMap_Datos!F77/TradeMap_Datos!F$5)</f>
        <v>3.15180653671168E-005</v>
      </c>
      <c r="G76" s="11" t="n">
        <f aca="false">IF(TradeMap_Datos!G77="",0,TradeMap_Datos!G77/TradeMap_Datos!G$5)</f>
        <v>6.99849707275363E-006</v>
      </c>
      <c r="H76" s="11" t="n">
        <f aca="false">IF(TradeMap_Datos!H77="",0,TradeMap_Datos!H77/TradeMap_Datos!H$5)</f>
        <v>2.95596816691009E-005</v>
      </c>
      <c r="I76" s="11" t="n">
        <f aca="false">IF(TradeMap_Datos!I77="",0,TradeMap_Datos!I77/TradeMap_Datos!I$5)</f>
        <v>4.10533438656395E-005</v>
      </c>
      <c r="J76" s="11" t="n">
        <f aca="false">IF(TradeMap_Datos!J77="",0,TradeMap_Datos!J77/TradeMap_Datos!J$5)</f>
        <v>0.000116843857205937</v>
      </c>
      <c r="K76" s="11" t="n">
        <f aca="false">IF(TradeMap_Datos!K77="",0,TradeMap_Datos!K77/TradeMap_Datos!K$5)</f>
        <v>5.35294474710922E-005</v>
      </c>
      <c r="L76" s="11" t="n">
        <f aca="false">IF(TradeMap_Datos!L77="",0,TradeMap_Datos!L77/TradeMap_Datos!L$5)</f>
        <v>7.63370908838246E-005</v>
      </c>
    </row>
    <row r="77" customFormat="false" ht="15" hidden="false" customHeight="false" outlineLevel="0" collapsed="false">
      <c r="A77" s="4" t="str">
        <f aca="false">TradeMap_Datos!A78</f>
        <v>410</v>
      </c>
      <c r="B77" s="4" t="str">
        <f aca="false">TradeMap_Datos!B78</f>
        <v>Corea, República de</v>
      </c>
      <c r="C77" s="11" t="n">
        <f aca="false">IF(TradeMap_Datos!C78="",0,TradeMap_Datos!C78/TradeMap_Datos!C$5)</f>
        <v>3.92964697805276E-005</v>
      </c>
      <c r="D77" s="11" t="n">
        <f aca="false">IF(TradeMap_Datos!D78="",0,TradeMap_Datos!D78/TradeMap_Datos!D$5)</f>
        <v>2.165757700769E-005</v>
      </c>
      <c r="E77" s="11" t="n">
        <f aca="false">IF(TradeMap_Datos!E78="",0,TradeMap_Datos!E78/TradeMap_Datos!E$5)</f>
        <v>3.05867602301338E-005</v>
      </c>
      <c r="F77" s="11" t="n">
        <f aca="false">IF(TradeMap_Datos!F78="",0,TradeMap_Datos!F78/TradeMap_Datos!F$5)</f>
        <v>5.67325176608102E-005</v>
      </c>
      <c r="G77" s="11" t="n">
        <f aca="false">IF(TradeMap_Datos!G78="",0,TradeMap_Datos!G78/TradeMap_Datos!G$5)</f>
        <v>5.17388890735715E-005</v>
      </c>
      <c r="H77" s="11" t="n">
        <f aca="false">IF(TradeMap_Datos!H78="",0,TradeMap_Datos!H78/TradeMap_Datos!H$5)</f>
        <v>9.1142351813061E-005</v>
      </c>
      <c r="I77" s="11" t="n">
        <f aca="false">IF(TradeMap_Datos!I78="",0,TradeMap_Datos!I78/TradeMap_Datos!I$5)</f>
        <v>8.46548263160428E-005</v>
      </c>
      <c r="J77" s="11" t="n">
        <f aca="false">IF(TradeMap_Datos!J78="",0,TradeMap_Datos!J78/TradeMap_Datos!J$5)</f>
        <v>5.65198192996162E-005</v>
      </c>
      <c r="K77" s="11" t="n">
        <f aca="false">IF(TradeMap_Datos!K78="",0,TradeMap_Datos!K78/TradeMap_Datos!K$5)</f>
        <v>4.86631340646293E-005</v>
      </c>
      <c r="L77" s="11" t="n">
        <f aca="false">IF(TradeMap_Datos!L78="",0,TradeMap_Datos!L78/TradeMap_Datos!L$5)</f>
        <v>6.23159925582242E-005</v>
      </c>
    </row>
    <row r="78" customFormat="false" ht="15" hidden="false" customHeight="false" outlineLevel="0" collapsed="false">
      <c r="A78" s="4" t="str">
        <f aca="false">TradeMap_Datos!A79</f>
        <v>703</v>
      </c>
      <c r="B78" s="4" t="str">
        <f aca="false">TradeMap_Datos!B79</f>
        <v>Eslovaquia</v>
      </c>
      <c r="C78" s="11" t="n">
        <f aca="false">IF(TradeMap_Datos!C79="",0,TradeMap_Datos!C79/TradeMap_Datos!C$5)</f>
        <v>1.03924548179908E-005</v>
      </c>
      <c r="D78" s="11" t="n">
        <f aca="false">IF(TradeMap_Datos!D79="",0,TradeMap_Datos!D79/TradeMap_Datos!D$5)</f>
        <v>1.27857984744194E-005</v>
      </c>
      <c r="E78" s="11" t="n">
        <f aca="false">IF(TradeMap_Datos!E79="",0,TradeMap_Datos!E79/TradeMap_Datos!E$5)</f>
        <v>0.000514413694779523</v>
      </c>
      <c r="F78" s="11" t="n">
        <f aca="false">IF(TradeMap_Datos!F79="",0,TradeMap_Datos!F79/TradeMap_Datos!F$5)</f>
        <v>0.000948468638511879</v>
      </c>
      <c r="G78" s="11" t="n">
        <f aca="false">IF(TradeMap_Datos!G79="",0,TradeMap_Datos!G79/TradeMap_Datos!G$5)</f>
        <v>3.12432905033644E-005</v>
      </c>
      <c r="H78" s="11" t="n">
        <f aca="false">IF(TradeMap_Datos!H79="",0,TradeMap_Datos!H79/TradeMap_Datos!H$5)</f>
        <v>1.81388955696755E-005</v>
      </c>
      <c r="I78" s="11" t="n">
        <f aca="false">IF(TradeMap_Datos!I79="",0,TradeMap_Datos!I79/TradeMap_Datos!I$5)</f>
        <v>0.000631655242512012</v>
      </c>
      <c r="J78" s="11" t="n">
        <f aca="false">IF(TradeMap_Datos!J79="",0,TradeMap_Datos!J79/TradeMap_Datos!J$5)</f>
        <v>0.00071709520736388</v>
      </c>
      <c r="K78" s="11" t="n">
        <f aca="false">IF(TradeMap_Datos!K79="",0,TradeMap_Datos!K79/TradeMap_Datos!K$5)</f>
        <v>0.000103985433843366</v>
      </c>
      <c r="L78" s="11" t="n">
        <f aca="false">IF(TradeMap_Datos!L79="",0,TradeMap_Datos!L79/TradeMap_Datos!L$5)</f>
        <v>6.23159925582242E-005</v>
      </c>
    </row>
    <row r="79" customFormat="false" ht="15" hidden="false" customHeight="false" outlineLevel="0" collapsed="false">
      <c r="A79" s="4" t="str">
        <f aca="false">TradeMap_Datos!A80</f>
        <v>705</v>
      </c>
      <c r="B79" s="4" t="str">
        <f aca="false">TradeMap_Datos!B80</f>
        <v>Eslovenia</v>
      </c>
      <c r="C79" s="11" t="n">
        <f aca="false">IF(TradeMap_Datos!C80="",0,TradeMap_Datos!C80/TradeMap_Datos!C$5)</f>
        <v>0.000156861114909048</v>
      </c>
      <c r="D79" s="11" t="n">
        <f aca="false">IF(TradeMap_Datos!D80="",0,TradeMap_Datos!D80/TradeMap_Datos!D$5)</f>
        <v>0.00012994546204614</v>
      </c>
      <c r="E79" s="11" t="n">
        <f aca="false">IF(TradeMap_Datos!E80="",0,TradeMap_Datos!E80/TradeMap_Datos!E$5)</f>
        <v>0.000260113853527336</v>
      </c>
      <c r="F79" s="11" t="n">
        <f aca="false">IF(TradeMap_Datos!F80="",0,TradeMap_Datos!F80/TradeMap_Datos!F$5)</f>
        <v>0.000110088099746572</v>
      </c>
      <c r="G79" s="11" t="n">
        <f aca="false">IF(TradeMap_Datos!G80="",0,TradeMap_Datos!G80/TradeMap_Datos!G$5)</f>
        <v>0.000146468545879772</v>
      </c>
      <c r="H79" s="11" t="n">
        <f aca="false">IF(TradeMap_Datos!H80="",0,TradeMap_Datos!H80/TradeMap_Datos!H$5)</f>
        <v>0.000167056988826888</v>
      </c>
      <c r="I79" s="11" t="n">
        <f aca="false">IF(TradeMap_Datos!I80="",0,TradeMap_Datos!I80/TradeMap_Datos!I$5)</f>
        <v>9.7395519239862E-005</v>
      </c>
      <c r="J79" s="11" t="n">
        <f aca="false">IF(TradeMap_Datos!J80="",0,TradeMap_Datos!J80/TradeMap_Datos!J$5)</f>
        <v>3.45096973608233E-005</v>
      </c>
      <c r="K79" s="11" t="n">
        <f aca="false">IF(TradeMap_Datos!K80="",0,TradeMap_Datos!K80/TradeMap_Datos!K$5)</f>
        <v>2.8173393405838E-005</v>
      </c>
      <c r="L79" s="11" t="n">
        <f aca="false">IF(TradeMap_Datos!L80="",0,TradeMap_Datos!L80/TradeMap_Datos!L$5)</f>
        <v>6.13812526698508E-005</v>
      </c>
    </row>
    <row r="80" customFormat="false" ht="15" hidden="false" customHeight="false" outlineLevel="0" collapsed="false">
      <c r="A80" s="4" t="str">
        <f aca="false">TradeMap_Datos!A81</f>
        <v>242</v>
      </c>
      <c r="B80" s="4" t="str">
        <f aca="false">TradeMap_Datos!B81</f>
        <v>Fiji</v>
      </c>
      <c r="C80" s="11" t="n">
        <f aca="false">IF(TradeMap_Datos!C81="",0,TradeMap_Datos!C81/TradeMap_Datos!C$5)</f>
        <v>2.04601454229193E-005</v>
      </c>
      <c r="D80" s="11" t="n">
        <f aca="false">IF(TradeMap_Datos!D81="",0,TradeMap_Datos!D81/TradeMap_Datos!D$5)</f>
        <v>1.48732757763654E-005</v>
      </c>
      <c r="E80" s="11" t="n">
        <f aca="false">IF(TradeMap_Datos!E81="",0,TradeMap_Datos!E81/TradeMap_Datos!E$5)</f>
        <v>1.7694819967846E-005</v>
      </c>
      <c r="F80" s="11" t="n">
        <f aca="false">IF(TradeMap_Datos!F81="",0,TradeMap_Datos!F81/TradeMap_Datos!F$5)</f>
        <v>2.11621296036356E-005</v>
      </c>
      <c r="G80" s="11" t="n">
        <f aca="false">IF(TradeMap_Datos!G81="",0,TradeMap_Datos!G81/TradeMap_Datos!G$5)</f>
        <v>5.19888353975984E-005</v>
      </c>
      <c r="H80" s="11" t="n">
        <f aca="false">IF(TradeMap_Datos!H81="",0,TradeMap_Datos!H81/TradeMap_Datos!H$5)</f>
        <v>4.41155855213096E-005</v>
      </c>
      <c r="I80" s="11" t="n">
        <f aca="false">IF(TradeMap_Datos!I81="",0,TradeMap_Datos!I81/TradeMap_Datos!I$5)</f>
        <v>8.86185974478976E-005</v>
      </c>
      <c r="J80" s="11" t="n">
        <f aca="false">IF(TradeMap_Datos!J81="",0,TradeMap_Datos!J81/TradeMap_Datos!J$5)</f>
        <v>4.18464046737543E-005</v>
      </c>
      <c r="K80" s="11" t="n">
        <f aca="false">IF(TradeMap_Datos!K81="",0,TradeMap_Datos!K81/TradeMap_Datos!K$5)</f>
        <v>5.89080043940249E-005</v>
      </c>
      <c r="L80" s="11" t="n">
        <f aca="false">IF(TradeMap_Datos!L81="",0,TradeMap_Datos!L81/TradeMap_Datos!L$5)</f>
        <v>5.9200192930313E-005</v>
      </c>
    </row>
    <row r="81" customFormat="false" ht="15" hidden="false" customHeight="false" outlineLevel="0" collapsed="false">
      <c r="A81" s="4" t="str">
        <f aca="false">TradeMap_Datos!A82</f>
        <v>646</v>
      </c>
      <c r="B81" s="4" t="str">
        <f aca="false">TradeMap_Datos!B82</f>
        <v>Ruanda</v>
      </c>
      <c r="C81" s="11" t="n">
        <f aca="false">IF(TradeMap_Datos!C82="",0,TradeMap_Datos!C82/TradeMap_Datos!C$5)</f>
        <v>9.74292639186635E-007</v>
      </c>
      <c r="D81" s="11" t="n">
        <f aca="false">IF(TradeMap_Datos!D82="",0,TradeMap_Datos!D82/TradeMap_Datos!D$5)</f>
        <v>1.7482622403798E-005</v>
      </c>
      <c r="E81" s="11" t="n">
        <f aca="false">IF(TradeMap_Datos!E82="",0,TradeMap_Datos!E82/TradeMap_Datos!E$5)</f>
        <v>4.49953993468084E-005</v>
      </c>
      <c r="F81" s="11" t="n">
        <f aca="false">IF(TradeMap_Datos!F82="",0,TradeMap_Datos!F82/TradeMap_Datos!F$5)</f>
        <v>5.89838080441757E-005</v>
      </c>
      <c r="G81" s="11" t="n">
        <f aca="false">IF(TradeMap_Datos!G82="",0,TradeMap_Datos!G82/TradeMap_Datos!G$5)</f>
        <v>7.0734809699617E-005</v>
      </c>
      <c r="H81" s="11" t="n">
        <f aca="false">IF(TradeMap_Datos!H82="",0,TradeMap_Datos!H82/TradeMap_Datos!H$5)</f>
        <v>0.000117566915729378</v>
      </c>
      <c r="I81" s="11" t="n">
        <f aca="false">IF(TradeMap_Datos!I82="",0,TradeMap_Datos!I82/TradeMap_Datos!I$5)</f>
        <v>7.33297659393147E-005</v>
      </c>
      <c r="J81" s="11" t="n">
        <f aca="false">IF(TradeMap_Datos!J82="",0,TradeMap_Datos!J82/TradeMap_Datos!J$5)</f>
        <v>4.23898644747121E-005</v>
      </c>
      <c r="K81" s="11" t="n">
        <f aca="false">IF(TradeMap_Datos!K82="",0,TradeMap_Datos!K82/TradeMap_Datos!K$5)</f>
        <v>2.40754452740797E-005</v>
      </c>
      <c r="L81" s="11" t="n">
        <f aca="false">IF(TradeMap_Datos!L82="",0,TradeMap_Datos!L82/TradeMap_Datos!L$5)</f>
        <v>5.85770330047307E-005</v>
      </c>
    </row>
    <row r="82" customFormat="false" ht="15" hidden="false" customHeight="false" outlineLevel="0" collapsed="false">
      <c r="A82" s="4" t="str">
        <f aca="false">TradeMap_Datos!A83</f>
        <v>757</v>
      </c>
      <c r="B82" s="4" t="str">
        <f aca="false">TradeMap_Datos!B83</f>
        <v>Suiza</v>
      </c>
      <c r="C82" s="11" t="n">
        <f aca="false">IF(TradeMap_Datos!C83="",0,TradeMap_Datos!C83/TradeMap_Datos!C$5)</f>
        <v>1.13667474571774E-005</v>
      </c>
      <c r="D82" s="11" t="n">
        <f aca="false">IF(TradeMap_Datos!D83="",0,TradeMap_Datos!D83/TradeMap_Datos!D$5)</f>
        <v>8.61084387052735E-006</v>
      </c>
      <c r="E82" s="11" t="n">
        <f aca="false">IF(TradeMap_Datos!E83="",0,TradeMap_Datos!E83/TradeMap_Datos!E$5)</f>
        <v>2.0222651391824E-005</v>
      </c>
      <c r="F82" s="11" t="n">
        <f aca="false">IF(TradeMap_Datos!F83="",0,TradeMap_Datos!F83/TradeMap_Datos!F$5)</f>
        <v>7.4292582651061E-006</v>
      </c>
      <c r="G82" s="11" t="n">
        <f aca="false">IF(TradeMap_Datos!G83="",0,TradeMap_Datos!G83/TradeMap_Datos!G$5)</f>
        <v>1.14975309052381E-005</v>
      </c>
      <c r="H82" s="11" t="n">
        <f aca="false">IF(TradeMap_Datos!H83="",0,TradeMap_Datos!H83/TradeMap_Datos!H$5)</f>
        <v>3.13511775278343E-005</v>
      </c>
      <c r="I82" s="11" t="n">
        <f aca="false">IF(TradeMap_Datos!I83="",0,TradeMap_Datos!I83/TradeMap_Datos!I$5)</f>
        <v>5.66253018836407E-006</v>
      </c>
      <c r="J82" s="11" t="n">
        <f aca="false">IF(TradeMap_Datos!J83="",0,TradeMap_Datos!J83/TradeMap_Datos!J$5)</f>
        <v>3.26075880574709E-005</v>
      </c>
      <c r="K82" s="11" t="n">
        <f aca="false">IF(TradeMap_Datos!K83="",0,TradeMap_Datos!K83/TradeMap_Datos!K$5)</f>
        <v>2.63805410981938E-005</v>
      </c>
      <c r="L82" s="11" t="n">
        <f aca="false">IF(TradeMap_Datos!L83="",0,TradeMap_Datos!L83/TradeMap_Datos!L$5)</f>
        <v>5.51496534140284E-005</v>
      </c>
    </row>
    <row r="83" customFormat="false" ht="15" hidden="false" customHeight="false" outlineLevel="0" collapsed="false">
      <c r="A83" s="4" t="str">
        <f aca="false">TradeMap_Datos!A84</f>
        <v>834</v>
      </c>
      <c r="B83" s="4" t="str">
        <f aca="false">TradeMap_Datos!B84</f>
        <v>Tanzanía, República Unida de</v>
      </c>
      <c r="C83" s="11" t="n">
        <f aca="false">IF(TradeMap_Datos!C84="",0,TradeMap_Datos!C84/TradeMap_Datos!C$5)</f>
        <v>5.5209916220576E-006</v>
      </c>
      <c r="D83" s="11" t="n">
        <f aca="false">IF(TradeMap_Datos!D84="",0,TradeMap_Datos!D84/TradeMap_Datos!D$5)</f>
        <v>1.82654263920277E-006</v>
      </c>
      <c r="E83" s="11" t="n">
        <f aca="false">IF(TradeMap_Datos!E84="",0,TradeMap_Datos!E84/TradeMap_Datos!E$5)</f>
        <v>2.7806145663758E-006</v>
      </c>
      <c r="F83" s="11" t="n">
        <f aca="false">IF(TradeMap_Datos!F84="",0,TradeMap_Datos!F84/TradeMap_Datos!F$5)</f>
        <v>8.55490345678884E-006</v>
      </c>
      <c r="G83" s="11" t="n">
        <f aca="false">IF(TradeMap_Datos!G84="",0,TradeMap_Datos!G84/TradeMap_Datos!G$5)</f>
        <v>6.4986044246998E-006</v>
      </c>
      <c r="H83" s="11" t="n">
        <f aca="false">IF(TradeMap_Datos!H84="",0,TradeMap_Datos!H84/TradeMap_Datos!H$5)</f>
        <v>6.49417248790852E-005</v>
      </c>
      <c r="I83" s="11" t="n">
        <f aca="false">IF(TradeMap_Datos!I84="",0,TradeMap_Datos!I84/TradeMap_Datos!I$5)</f>
        <v>2.18007412252017E-005</v>
      </c>
      <c r="J83" s="11" t="n">
        <f aca="false">IF(TradeMap_Datos!J84="",0,TradeMap_Datos!J84/TradeMap_Datos!J$5)</f>
        <v>1.4401684725383E-005</v>
      </c>
      <c r="K83" s="11" t="n">
        <f aca="false">IF(TradeMap_Datos!K84="",0,TradeMap_Datos!K84/TradeMap_Datos!K$5)</f>
        <v>2.33070799993751E-005</v>
      </c>
      <c r="L83" s="11" t="n">
        <f aca="false">IF(TradeMap_Datos!L84="",0,TradeMap_Datos!L84/TradeMap_Datos!L$5)</f>
        <v>4.33096148279658E-005</v>
      </c>
    </row>
    <row r="84" customFormat="false" ht="15" hidden="false" customHeight="false" outlineLevel="0" collapsed="false">
      <c r="A84" s="4" t="str">
        <f aca="false">TradeMap_Datos!A85</f>
        <v>608</v>
      </c>
      <c r="B84" s="4" t="str">
        <f aca="false">TradeMap_Datos!B85</f>
        <v>Filipinas</v>
      </c>
      <c r="C84" s="11" t="n">
        <f aca="false">IF(TradeMap_Datos!C85="",0,TradeMap_Datos!C85/TradeMap_Datos!C$5)</f>
        <v>2.43573159796659E-005</v>
      </c>
      <c r="D84" s="11" t="n">
        <f aca="false">IF(TradeMap_Datos!D85="",0,TradeMap_Datos!D85/TradeMap_Datos!D$5)</f>
        <v>2.4788792960609E-005</v>
      </c>
      <c r="E84" s="11" t="n">
        <f aca="false">IF(TradeMap_Datos!E85="",0,TradeMap_Datos!E85/TradeMap_Datos!E$5)</f>
        <v>4.6764881343593E-005</v>
      </c>
      <c r="F84" s="11" t="n">
        <f aca="false">IF(TradeMap_Datos!F85="",0,TradeMap_Datos!F85/TradeMap_Datos!F$5)</f>
        <v>4.27745172839442E-005</v>
      </c>
      <c r="G84" s="11" t="n">
        <f aca="false">IF(TradeMap_Datos!G85="",0,TradeMap_Datos!G85/TradeMap_Datos!G$5)</f>
        <v>4.4240499352764E-005</v>
      </c>
      <c r="H84" s="11" t="n">
        <f aca="false">IF(TradeMap_Datos!H85="",0,TradeMap_Datos!H85/TradeMap_Datos!H$5)</f>
        <v>0.000112864239100203</v>
      </c>
      <c r="I84" s="11" t="n">
        <f aca="false">IF(TradeMap_Datos!I85="",0,TradeMap_Datos!I85/TradeMap_Datos!I$5)</f>
        <v>0.000150623303010484</v>
      </c>
      <c r="J84" s="11" t="n">
        <f aca="false">IF(TradeMap_Datos!J85="",0,TradeMap_Datos!J85/TradeMap_Datos!J$5)</f>
        <v>3.80421860670494E-005</v>
      </c>
      <c r="K84" s="11" t="n">
        <f aca="false">IF(TradeMap_Datos!K85="",0,TradeMap_Datos!K85/TradeMap_Datos!K$5)</f>
        <v>3.61131679111196E-005</v>
      </c>
      <c r="L84" s="11" t="n">
        <f aca="false">IF(TradeMap_Datos!L85="",0,TradeMap_Datos!L85/TradeMap_Datos!L$5)</f>
        <v>3.80127554605167E-005</v>
      </c>
    </row>
    <row r="85" customFormat="false" ht="15" hidden="false" customHeight="false" outlineLevel="0" collapsed="false">
      <c r="A85" s="4" t="str">
        <f aca="false">TradeMap_Datos!A86</f>
        <v>688</v>
      </c>
      <c r="B85" s="4" t="str">
        <f aca="false">TradeMap_Datos!B86</f>
        <v>Serbia</v>
      </c>
      <c r="C85" s="11" t="n">
        <f aca="false">IF(TradeMap_Datos!C86="",0,TradeMap_Datos!C86/TradeMap_Datos!C$5)</f>
        <v>7.79434111349308E-006</v>
      </c>
      <c r="D85" s="11" t="n">
        <f aca="false">IF(TradeMap_Datos!D86="",0,TradeMap_Datos!D86/TradeMap_Datos!D$5)</f>
        <v>3.9140199411488E-006</v>
      </c>
      <c r="E85" s="11" t="n">
        <f aca="false">IF(TradeMap_Datos!E86="",0,TradeMap_Datos!E86/TradeMap_Datos!E$5)</f>
        <v>9.35297626871859E-006</v>
      </c>
      <c r="F85" s="11" t="n">
        <f aca="false">IF(TradeMap_Datos!F86="",0,TradeMap_Datos!F86/TradeMap_Datos!F$5)</f>
        <v>2.47641942170203E-006</v>
      </c>
      <c r="G85" s="11" t="n">
        <f aca="false">IF(TradeMap_Datos!G86="",0,TradeMap_Datos!G86/TradeMap_Datos!G$5)</f>
        <v>4.24908750845756E-006</v>
      </c>
      <c r="H85" s="11" t="n">
        <f aca="false">IF(TradeMap_Datos!H86="",0,TradeMap_Datos!H86/TradeMap_Datos!H$5)</f>
        <v>6.7181094702502E-006</v>
      </c>
      <c r="I85" s="11" t="n">
        <f aca="false">IF(TradeMap_Datos!I86="",0,TradeMap_Datos!I86/TradeMap_Datos!I$5)</f>
        <v>6.62516032038596E-005</v>
      </c>
      <c r="J85" s="11" t="n">
        <f aca="false">IF(TradeMap_Datos!J86="",0,TradeMap_Datos!J86/TradeMap_Datos!J$5)</f>
        <v>1.22278455215516E-005</v>
      </c>
      <c r="K85" s="11" t="n">
        <f aca="false">IF(TradeMap_Datos!K86="",0,TradeMap_Datos!K86/TradeMap_Datos!K$5)</f>
        <v>3.66254114275894E-005</v>
      </c>
      <c r="L85" s="11" t="n">
        <f aca="false">IF(TradeMap_Datos!L86="",0,TradeMap_Datos!L86/TradeMap_Datos!L$5)</f>
        <v>3.45853758698144E-005</v>
      </c>
    </row>
    <row r="86" customFormat="false" ht="15" hidden="false" customHeight="false" outlineLevel="0" collapsed="false">
      <c r="A86" s="4" t="str">
        <f aca="false">TradeMap_Datos!A87</f>
        <v>052</v>
      </c>
      <c r="B86" s="4" t="str">
        <f aca="false">TradeMap_Datos!B87</f>
        <v>Barbados</v>
      </c>
      <c r="C86" s="11" t="n">
        <f aca="false">IF(TradeMap_Datos!C87="",0,TradeMap_Datos!C87/TradeMap_Datos!C$5)</f>
        <v>4.09202908458387E-005</v>
      </c>
      <c r="D86" s="11" t="n">
        <f aca="false">IF(TradeMap_Datos!D87="",0,TradeMap_Datos!D87/TradeMap_Datos!D$5)</f>
        <v>4.56635659800693E-005</v>
      </c>
      <c r="E86" s="11" t="n">
        <f aca="false">IF(TradeMap_Datos!E87="",0,TradeMap_Datos!E87/TradeMap_Datos!E$5)</f>
        <v>3.61479893628854E-005</v>
      </c>
      <c r="F86" s="11" t="n">
        <f aca="false">IF(TradeMap_Datos!F87="",0,TradeMap_Datos!F87/TradeMap_Datos!F$5)</f>
        <v>2.34134199870011E-005</v>
      </c>
      <c r="G86" s="11" t="n">
        <f aca="false">IF(TradeMap_Datos!G87="",0,TradeMap_Datos!G87/TradeMap_Datos!G$5)</f>
        <v>2.22452228383955E-005</v>
      </c>
      <c r="H86" s="11" t="n">
        <f aca="false">IF(TradeMap_Datos!H87="",0,TradeMap_Datos!H87/TradeMap_Datos!H$5)</f>
        <v>1.25404710111337E-005</v>
      </c>
      <c r="I86" s="11" t="n">
        <f aca="false">IF(TradeMap_Datos!I87="",0,TradeMap_Datos!I87/TradeMap_Datos!I$5)</f>
        <v>2.74632714135657E-005</v>
      </c>
      <c r="J86" s="11" t="n">
        <f aca="false">IF(TradeMap_Datos!J87="",0,TradeMap_Datos!J87/TradeMap_Datos!J$5)</f>
        <v>2.41839611426242E-005</v>
      </c>
      <c r="K86" s="11" t="n">
        <f aca="false">IF(TradeMap_Datos!K87="",0,TradeMap_Datos!K87/TradeMap_Datos!K$5)</f>
        <v>3.02223674717171E-005</v>
      </c>
      <c r="L86" s="11" t="n">
        <f aca="false">IF(TradeMap_Datos!L87="",0,TradeMap_Datos!L87/TradeMap_Datos!L$5)</f>
        <v>2.74190367256186E-005</v>
      </c>
    </row>
    <row r="87" customFormat="false" ht="15" hidden="false" customHeight="false" outlineLevel="0" collapsed="false">
      <c r="A87" s="4" t="str">
        <f aca="false">TradeMap_Datos!A88</f>
        <v>233</v>
      </c>
      <c r="B87" s="4" t="str">
        <f aca="false">TradeMap_Datos!B88</f>
        <v>Estonia</v>
      </c>
      <c r="C87" s="11" t="n">
        <f aca="false">IF(TradeMap_Datos!C88="",0,TradeMap_Datos!C88/TradeMap_Datos!C$5)</f>
        <v>5.5209916220576E-006</v>
      </c>
      <c r="D87" s="11" t="n">
        <f aca="false">IF(TradeMap_Datos!D88="",0,TradeMap_Datos!D88/TradeMap_Datos!D$5)</f>
        <v>1.93091650430007E-005</v>
      </c>
      <c r="E87" s="11" t="n">
        <f aca="false">IF(TradeMap_Datos!E88="",0,TradeMap_Datos!E88/TradeMap_Datos!E$5)</f>
        <v>3.61479893628854E-005</v>
      </c>
      <c r="F87" s="11" t="n">
        <f aca="false">IF(TradeMap_Datos!F88="",0,TradeMap_Datos!F88/TradeMap_Datos!F$5)</f>
        <v>1.75600649902508E-005</v>
      </c>
      <c r="G87" s="11" t="n">
        <f aca="false">IF(TradeMap_Datos!G88="",0,TradeMap_Datos!G88/TradeMap_Datos!G$5)</f>
        <v>4.99892648053831E-006</v>
      </c>
      <c r="H87" s="11" t="n">
        <f aca="false">IF(TradeMap_Datos!H88="",0,TradeMap_Datos!H88/TradeMap_Datos!H$5)</f>
        <v>5.59842455854183E-006</v>
      </c>
      <c r="I87" s="11" t="n">
        <f aca="false">IF(TradeMap_Datos!I88="",0,TradeMap_Datos!I88/TradeMap_Datos!I$5)</f>
        <v>4.24689764127305E-006</v>
      </c>
      <c r="J87" s="11" t="n">
        <f aca="false">IF(TradeMap_Datos!J88="",0,TradeMap_Datos!J88/TradeMap_Datos!J$5)</f>
        <v>2.98902890526816E-006</v>
      </c>
      <c r="K87" s="11" t="n">
        <f aca="false">IF(TradeMap_Datos!K88="",0,TradeMap_Datos!K88/TradeMap_Datos!K$5)</f>
        <v>2.1001984175261E-005</v>
      </c>
      <c r="L87" s="11" t="n">
        <f aca="false">IF(TradeMap_Datos!L88="",0,TradeMap_Datos!L88/TradeMap_Datos!L$5)</f>
        <v>1.99411176186317E-005</v>
      </c>
    </row>
    <row r="88" customFormat="false" ht="15" hidden="false" customHeight="false" outlineLevel="0" collapsed="false">
      <c r="A88" s="4" t="str">
        <f aca="false">TradeMap_Datos!A89</f>
        <v>051</v>
      </c>
      <c r="B88" s="4" t="str">
        <f aca="false">TradeMap_Datos!B89</f>
        <v>Armenia</v>
      </c>
      <c r="C88" s="11" t="n">
        <f aca="false">IF(TradeMap_Datos!C89="",0,TradeMap_Datos!C89/TradeMap_Datos!C$5)</f>
        <v>0.000686226782200453</v>
      </c>
      <c r="D88" s="11" t="n">
        <f aca="false">IF(TradeMap_Datos!D89="",0,TradeMap_Datos!D89/TradeMap_Datos!D$5)</f>
        <v>0.000867346818958573</v>
      </c>
      <c r="E88" s="11" t="n">
        <f aca="false">IF(TradeMap_Datos!E89="",0,TradeMap_Datos!E89/TradeMap_Datos!E$5)</f>
        <v>0.000384483159587053</v>
      </c>
      <c r="F88" s="11" t="n">
        <f aca="false">IF(TradeMap_Datos!F89="",0,TradeMap_Datos!F89/TradeMap_Datos!F$5)</f>
        <v>0.00035547875153341</v>
      </c>
      <c r="G88" s="11" t="n">
        <f aca="false">IF(TradeMap_Datos!G89="",0,TradeMap_Datos!G89/TradeMap_Datos!G$5)</f>
        <v>0.000292187252787464</v>
      </c>
      <c r="H88" s="11" t="n">
        <f aca="false">IF(TradeMap_Datos!H89="",0,TradeMap_Datos!H89/TradeMap_Datos!H$5)</f>
        <v>0.000322469254572009</v>
      </c>
      <c r="I88" s="11" t="n">
        <f aca="false">IF(TradeMap_Datos!I89="",0,TradeMap_Datos!I89/TradeMap_Datos!I$5)</f>
        <v>0.000217724285742598</v>
      </c>
      <c r="J88" s="11" t="n">
        <f aca="false">IF(TradeMap_Datos!J89="",0,TradeMap_Datos!J89/TradeMap_Datos!J$5)</f>
        <v>3.80421860670494E-006</v>
      </c>
      <c r="K88" s="11" t="n">
        <f aca="false">IF(TradeMap_Datos!K89="",0,TradeMap_Datos!K89/TradeMap_Datos!K$5)</f>
        <v>7.93977450528162E-006</v>
      </c>
      <c r="L88" s="11" t="n">
        <f aca="false">IF(TradeMap_Datos!L89="",0,TradeMap_Datos!L89/TradeMap_Datos!L$5)</f>
        <v>1.96295376558406E-005</v>
      </c>
    </row>
    <row r="89" customFormat="false" ht="15" hidden="false" customHeight="false" outlineLevel="0" collapsed="false">
      <c r="A89" s="4" t="str">
        <f aca="false">TradeMap_Datos!A90</f>
        <v>498</v>
      </c>
      <c r="B89" s="4" t="str">
        <f aca="false">TradeMap_Datos!B90</f>
        <v>Moldova, República de</v>
      </c>
      <c r="C89" s="11" t="n">
        <f aca="false">IF(TradeMap_Datos!C90="",0,TradeMap_Datos!C90/TradeMap_Datos!C$5)</f>
        <v>9.41816217880413E-006</v>
      </c>
      <c r="D89" s="11" t="n">
        <f aca="false">IF(TradeMap_Datos!D90="",0,TradeMap_Datos!D90/TradeMap_Datos!D$5)</f>
        <v>0</v>
      </c>
      <c r="E89" s="11" t="n">
        <f aca="false">IF(TradeMap_Datos!E90="",0,TradeMap_Datos!E90/TradeMap_Datos!E$5)</f>
        <v>1.59253379710614E-005</v>
      </c>
      <c r="F89" s="11" t="n">
        <f aca="false">IF(TradeMap_Datos!F90="",0,TradeMap_Datos!F90/TradeMap_Datos!F$5)</f>
        <v>4.72770980506752E-006</v>
      </c>
      <c r="G89" s="11" t="n">
        <f aca="false">IF(TradeMap_Datos!G90="",0,TradeMap_Datos!G90/TradeMap_Datos!G$5)</f>
        <v>0</v>
      </c>
      <c r="H89" s="11" t="n">
        <f aca="false">IF(TradeMap_Datos!H90="",0,TradeMap_Datos!H90/TradeMap_Datos!H$5)</f>
        <v>0</v>
      </c>
      <c r="I89" s="11" t="n">
        <f aca="false">IF(TradeMap_Datos!I90="",0,TradeMap_Datos!I90/TradeMap_Datos!I$5)</f>
        <v>0</v>
      </c>
      <c r="J89" s="11" t="n">
        <f aca="false">IF(TradeMap_Datos!J90="",0,TradeMap_Datos!J90/TradeMap_Datos!J$5)</f>
        <v>1.0869196019157E-006</v>
      </c>
      <c r="K89" s="11" t="n">
        <f aca="false">IF(TradeMap_Datos!K90="",0,TradeMap_Datos!K90/TradeMap_Datos!K$5)</f>
        <v>0</v>
      </c>
      <c r="L89" s="11" t="n">
        <f aca="false">IF(TradeMap_Datos!L90="",0,TradeMap_Datos!L90/TradeMap_Datos!L$5)</f>
        <v>1.8071637841885E-005</v>
      </c>
    </row>
    <row r="90" customFormat="false" ht="15" hidden="false" customHeight="false" outlineLevel="0" collapsed="false">
      <c r="A90" s="4" t="str">
        <f aca="false">TradeMap_Datos!A91</f>
        <v>740</v>
      </c>
      <c r="B90" s="4" t="str">
        <f aca="false">TradeMap_Datos!B91</f>
        <v>Suriname</v>
      </c>
      <c r="C90" s="11" t="n">
        <f aca="false">IF(TradeMap_Datos!C91="",0,TradeMap_Datos!C91/TradeMap_Datos!C$5)</f>
        <v>1.2341040096364E-005</v>
      </c>
      <c r="D90" s="11" t="n">
        <f aca="false">IF(TradeMap_Datos!D91="",0,TradeMap_Datos!D91/TradeMap_Datos!D$5)</f>
        <v>0</v>
      </c>
      <c r="E90" s="11" t="n">
        <f aca="false">IF(TradeMap_Datos!E91="",0,TradeMap_Datos!E91/TradeMap_Datos!E$5)</f>
        <v>8.84740998392299E-006</v>
      </c>
      <c r="F90" s="11" t="n">
        <f aca="false">IF(TradeMap_Datos!F91="",0,TradeMap_Datos!F91/TradeMap_Datos!F$5)</f>
        <v>5.40309692007717E-006</v>
      </c>
      <c r="G90" s="11" t="n">
        <f aca="false">IF(TradeMap_Datos!G91="",0,TradeMap_Datos!G91/TradeMap_Datos!G$5)</f>
        <v>2.74940956429607E-006</v>
      </c>
      <c r="H90" s="11" t="n">
        <f aca="false">IF(TradeMap_Datos!H91="",0,TradeMap_Datos!H91/TradeMap_Datos!H$5)</f>
        <v>7.61385739961689E-006</v>
      </c>
      <c r="I90" s="11" t="n">
        <f aca="false">IF(TradeMap_Datos!I91="",0,TradeMap_Datos!I91/TradeMap_Datos!I$5)</f>
        <v>8.4937952825461E-006</v>
      </c>
      <c r="J90" s="11" t="n">
        <f aca="false">IF(TradeMap_Datos!J91="",0,TradeMap_Datos!J91/TradeMap_Datos!J$5)</f>
        <v>1.57603342277776E-005</v>
      </c>
      <c r="K90" s="11" t="n">
        <f aca="false">IF(TradeMap_Datos!K91="",0,TradeMap_Datos!K91/TradeMap_Datos!K$5)</f>
        <v>1.48550619776237E-005</v>
      </c>
      <c r="L90" s="11" t="n">
        <f aca="false">IF(TradeMap_Datos!L91="",0,TradeMap_Datos!L91/TradeMap_Datos!L$5)</f>
        <v>1.62021580651383E-005</v>
      </c>
    </row>
    <row r="91" customFormat="false" ht="15" hidden="false" customHeight="false" outlineLevel="0" collapsed="false">
      <c r="A91" s="4" t="str">
        <f aca="false">TradeMap_Datos!A92</f>
        <v>516</v>
      </c>
      <c r="B91" s="4" t="str">
        <f aca="false">TradeMap_Datos!B92</f>
        <v>Namibia</v>
      </c>
      <c r="C91" s="11" t="n">
        <f aca="false">IF(TradeMap_Datos!C92="",0,TradeMap_Datos!C92/TradeMap_Datos!C$5)</f>
        <v>9.74292639186635E-007</v>
      </c>
      <c r="D91" s="11" t="n">
        <f aca="false">IF(TradeMap_Datos!D92="",0,TradeMap_Datos!D92/TradeMap_Datos!D$5)</f>
        <v>0</v>
      </c>
      <c r="E91" s="11" t="n">
        <f aca="false">IF(TradeMap_Datos!E92="",0,TradeMap_Datos!E92/TradeMap_Datos!E$5)</f>
        <v>1.7694819967846E-006</v>
      </c>
      <c r="F91" s="11" t="n">
        <f aca="false">IF(TradeMap_Datos!F92="",0,TradeMap_Datos!F92/TradeMap_Datos!F$5)</f>
        <v>4.50258076673097E-007</v>
      </c>
      <c r="G91" s="11" t="n">
        <f aca="false">IF(TradeMap_Datos!G92="",0,TradeMap_Datos!G92/TradeMap_Datos!G$5)</f>
        <v>0.000228200993836574</v>
      </c>
      <c r="H91" s="11" t="n">
        <f aca="false">IF(TradeMap_Datos!H92="",0,TradeMap_Datos!H92/TradeMap_Datos!H$5)</f>
        <v>0.000255064222887166</v>
      </c>
      <c r="I91" s="11" t="n">
        <f aca="false">IF(TradeMap_Datos!I92="",0,TradeMap_Datos!I92/TradeMap_Datos!I$5)</f>
        <v>0.000364950070640064</v>
      </c>
      <c r="J91" s="11" t="n">
        <f aca="false">IF(TradeMap_Datos!J92="",0,TradeMap_Datos!J92/TradeMap_Datos!J$5)</f>
        <v>0.00022988349580517</v>
      </c>
      <c r="K91" s="11" t="n">
        <f aca="false">IF(TradeMap_Datos!K92="",0,TradeMap_Datos!K92/TradeMap_Datos!K$5)</f>
        <v>3.32958285705358E-006</v>
      </c>
      <c r="L91" s="11" t="n">
        <f aca="false">IF(TradeMap_Datos!L92="",0,TradeMap_Datos!L92/TradeMap_Datos!L$5)</f>
        <v>1.49558382139738E-005</v>
      </c>
    </row>
    <row r="92" customFormat="false" ht="15" hidden="false" customHeight="false" outlineLevel="0" collapsed="false">
      <c r="A92" s="4" t="str">
        <f aca="false">TradeMap_Datos!A93</f>
        <v>070</v>
      </c>
      <c r="B92" s="4" t="str">
        <f aca="false">TradeMap_Datos!B93</f>
        <v>Bosnia y Herzegovina</v>
      </c>
      <c r="C92" s="11" t="n">
        <f aca="false">IF(TradeMap_Datos!C93="",0,TradeMap_Datos!C93/TradeMap_Datos!C$5)</f>
        <v>3.24764213062212E-007</v>
      </c>
      <c r="D92" s="11" t="n">
        <f aca="false">IF(TradeMap_Datos!D93="",0,TradeMap_Datos!D93/TradeMap_Datos!D$5)</f>
        <v>2.60934662743253E-007</v>
      </c>
      <c r="E92" s="11" t="n">
        <f aca="false">IF(TradeMap_Datos!E93="",0,TradeMap_Datos!E93/TradeMap_Datos!E$5)</f>
        <v>7.58349427193399E-007</v>
      </c>
      <c r="F92" s="11" t="n">
        <f aca="false">IF(TradeMap_Datos!F93="",0,TradeMap_Datos!F93/TradeMap_Datos!F$5)</f>
        <v>2.25129038336549E-007</v>
      </c>
      <c r="G92" s="11" t="n">
        <f aca="false">IF(TradeMap_Datos!G93="",0,TradeMap_Datos!G93/TradeMap_Datos!G$5)</f>
        <v>2.49946324026915E-007</v>
      </c>
      <c r="H92" s="11" t="n">
        <f aca="false">IF(TradeMap_Datos!H93="",0,TradeMap_Datos!H93/TradeMap_Datos!H$5)</f>
        <v>4.47873964683346E-007</v>
      </c>
      <c r="I92" s="11" t="n">
        <f aca="false">IF(TradeMap_Datos!I93="",0,TradeMap_Datos!I93/TradeMap_Datos!I$5)</f>
        <v>1.41563254709102E-006</v>
      </c>
      <c r="J92" s="11" t="n">
        <f aca="false">IF(TradeMap_Datos!J93="",0,TradeMap_Datos!J93/TradeMap_Datos!J$5)</f>
        <v>6.7932475119731E-006</v>
      </c>
      <c r="K92" s="11" t="n">
        <f aca="false">IF(TradeMap_Datos!K93="",0,TradeMap_Datos!K93/TradeMap_Datos!K$5)</f>
        <v>0</v>
      </c>
      <c r="L92" s="11" t="n">
        <f aca="false">IF(TradeMap_Datos!L93="",0,TradeMap_Datos!L93/TradeMap_Datos!L$5)</f>
        <v>6.85475918140466E-006</v>
      </c>
    </row>
    <row r="93" customFormat="false" ht="15" hidden="false" customHeight="false" outlineLevel="0" collapsed="false">
      <c r="A93" s="4" t="str">
        <f aca="false">TradeMap_Datos!A94</f>
        <v>108</v>
      </c>
      <c r="B93" s="4" t="str">
        <f aca="false">TradeMap_Datos!B94</f>
        <v>Burundi</v>
      </c>
      <c r="C93" s="11" t="n">
        <f aca="false">IF(TradeMap_Datos!C94="",0,TradeMap_Datos!C94/TradeMap_Datos!C$5)</f>
        <v>2.33830233404792E-005</v>
      </c>
      <c r="D93" s="11" t="n">
        <f aca="false">IF(TradeMap_Datos!D94="",0,TradeMap_Datos!D94/TradeMap_Datos!D$5)</f>
        <v>5.47962791760832E-006</v>
      </c>
      <c r="E93" s="11" t="n">
        <f aca="false">IF(TradeMap_Datos!E94="",0,TradeMap_Datos!E94/TradeMap_Datos!E$5)</f>
        <v>1.82003862526416E-005</v>
      </c>
      <c r="F93" s="11" t="n">
        <f aca="false">IF(TradeMap_Datos!F94="",0,TradeMap_Datos!F94/TradeMap_Datos!F$5)</f>
        <v>1.26072261468467E-005</v>
      </c>
      <c r="G93" s="11" t="n">
        <f aca="false">IF(TradeMap_Datos!G94="",0,TradeMap_Datos!G94/TradeMap_Datos!G$5)</f>
        <v>2.99935588832298E-006</v>
      </c>
      <c r="H93" s="11" t="n">
        <f aca="false">IF(TradeMap_Datos!H94="",0,TradeMap_Datos!H94/TradeMap_Datos!H$5)</f>
        <v>3.80692869980844E-006</v>
      </c>
      <c r="I93" s="11" t="n">
        <f aca="false">IF(TradeMap_Datos!I94="",0,TradeMap_Datos!I94/TradeMap_Datos!I$5)</f>
        <v>9.06004830138251E-006</v>
      </c>
      <c r="J93" s="11" t="n">
        <f aca="false">IF(TradeMap_Datos!J94="",0,TradeMap_Datos!J94/TradeMap_Datos!J$5)</f>
        <v>1.90210930335247E-006</v>
      </c>
      <c r="K93" s="11" t="n">
        <f aca="false">IF(TradeMap_Datos!K94="",0,TradeMap_Datos!K94/TradeMap_Datos!K$5)</f>
        <v>1.79285230764424E-006</v>
      </c>
      <c r="L93" s="11" t="n">
        <f aca="false">IF(TradeMap_Datos!L94="",0,TradeMap_Datos!L94/TradeMap_Datos!L$5)</f>
        <v>5.9200192930313E-006</v>
      </c>
    </row>
    <row r="94" customFormat="false" ht="15" hidden="false" customHeight="false" outlineLevel="0" collapsed="false">
      <c r="A94" s="4" t="str">
        <f aca="false">TradeMap_Datos!A95</f>
        <v>417</v>
      </c>
      <c r="B94" s="4" t="str">
        <f aca="false">TradeMap_Datos!B95</f>
        <v>Kirguistán</v>
      </c>
      <c r="C94" s="11" t="n">
        <f aca="false">IF(TradeMap_Datos!C95="",0,TradeMap_Datos!C95/TradeMap_Datos!C$5)</f>
        <v>0.00016303163495723</v>
      </c>
      <c r="D94" s="11" t="n">
        <f aca="false">IF(TradeMap_Datos!D95="",0,TradeMap_Datos!D95/TradeMap_Datos!D$5)</f>
        <v>0.000229622503214063</v>
      </c>
      <c r="E94" s="11" t="n">
        <f aca="false">IF(TradeMap_Datos!E95="",0,TradeMap_Datos!E95/TradeMap_Datos!E$5)</f>
        <v>3.31145916541118E-005</v>
      </c>
      <c r="F94" s="11" t="n">
        <f aca="false">IF(TradeMap_Datos!F95="",0,TradeMap_Datos!F95/TradeMap_Datos!F$5)</f>
        <v>0.000166595488369046</v>
      </c>
      <c r="G94" s="11" t="n">
        <f aca="false">IF(TradeMap_Datos!G95="",0,TradeMap_Datos!G95/TradeMap_Datos!G$5)</f>
        <v>9.99785296107661E-007</v>
      </c>
      <c r="H94" s="11" t="n">
        <f aca="false">IF(TradeMap_Datos!H95="",0,TradeMap_Datos!H95/TradeMap_Datos!H$5)</f>
        <v>5.8223615408835E-006</v>
      </c>
      <c r="I94" s="11" t="n">
        <f aca="false">IF(TradeMap_Datos!I95="",0,TradeMap_Datos!I95/TradeMap_Datos!I$5)</f>
        <v>0.000118063754427391</v>
      </c>
      <c r="J94" s="11" t="n">
        <f aca="false">IF(TradeMap_Datos!J95="",0,TradeMap_Datos!J95/TradeMap_Datos!J$5)</f>
        <v>0.000218742569885534</v>
      </c>
      <c r="K94" s="11" t="n">
        <f aca="false">IF(TradeMap_Datos!K95="",0,TradeMap_Datos!K95/TradeMap_Datos!K$5)</f>
        <v>6.27498307675483E-005</v>
      </c>
      <c r="L94" s="11" t="n">
        <f aca="false">IF(TradeMap_Datos!L95="",0,TradeMap_Datos!L95/TradeMap_Datos!L$5)</f>
        <v>4.98527940465793E-006</v>
      </c>
    </row>
    <row r="95" customFormat="false" ht="15" hidden="false" customHeight="false" outlineLevel="0" collapsed="false">
      <c r="A95" s="4" t="str">
        <f aca="false">TradeMap_Datos!A96</f>
        <v>196</v>
      </c>
      <c r="B95" s="4" t="str">
        <f aca="false">TradeMap_Datos!B96</f>
        <v>Chipre</v>
      </c>
      <c r="C95" s="11" t="n">
        <f aca="false">IF(TradeMap_Datos!C96="",0,TradeMap_Datos!C96/TradeMap_Datos!C$5)</f>
        <v>5.13127456638294E-005</v>
      </c>
      <c r="D95" s="11" t="n">
        <f aca="false">IF(TradeMap_Datos!D96="",0,TradeMap_Datos!D96/TradeMap_Datos!D$5)</f>
        <v>2.60934662743253E-005</v>
      </c>
      <c r="E95" s="11" t="n">
        <f aca="false">IF(TradeMap_Datos!E96="",0,TradeMap_Datos!E96/TradeMap_Datos!E$5)</f>
        <v>3.10923265149294E-005</v>
      </c>
      <c r="F95" s="11" t="n">
        <f aca="false">IF(TradeMap_Datos!F96="",0,TradeMap_Datos!F96/TradeMap_Datos!F$5)</f>
        <v>1.19318390318371E-005</v>
      </c>
      <c r="G95" s="11" t="n">
        <f aca="false">IF(TradeMap_Datos!G96="",0,TradeMap_Datos!G96/TradeMap_Datos!G$5)</f>
        <v>1.1747477229265E-005</v>
      </c>
      <c r="H95" s="11" t="n">
        <f aca="false">IF(TradeMap_Datos!H96="",0,TradeMap_Datos!H96/TradeMap_Datos!H$5)</f>
        <v>1.00771642053753E-005</v>
      </c>
      <c r="I95" s="11" t="n">
        <f aca="false">IF(TradeMap_Datos!I96="",0,TradeMap_Datos!I96/TradeMap_Datos!I$5)</f>
        <v>3.11439160360024E-006</v>
      </c>
      <c r="J95" s="11" t="n">
        <f aca="false">IF(TradeMap_Datos!J96="",0,TradeMap_Datos!J96/TradeMap_Datos!J$5)</f>
        <v>0</v>
      </c>
      <c r="K95" s="11" t="n">
        <f aca="false">IF(TradeMap_Datos!K96="",0,TradeMap_Datos!K96/TradeMap_Datos!K$5)</f>
        <v>3.58570461528847E-006</v>
      </c>
      <c r="L95" s="11" t="n">
        <f aca="false">IF(TradeMap_Datos!L96="",0,TradeMap_Datos!L96/TradeMap_Datos!L$5)</f>
        <v>4.67369944186681E-006</v>
      </c>
    </row>
    <row r="96" customFormat="false" ht="15" hidden="false" customHeight="false" outlineLevel="0" collapsed="false">
      <c r="A96" s="4" t="str">
        <f aca="false">TradeMap_Datos!A97</f>
        <v>352</v>
      </c>
      <c r="B96" s="4" t="str">
        <f aca="false">TradeMap_Datos!B97</f>
        <v>Islandia</v>
      </c>
      <c r="C96" s="11" t="n">
        <f aca="false">IF(TradeMap_Datos!C97="",0,TradeMap_Datos!C97/TradeMap_Datos!C$5)</f>
        <v>6.49528426124423E-007</v>
      </c>
      <c r="D96" s="11" t="n">
        <f aca="false">IF(TradeMap_Datos!D97="",0,TradeMap_Datos!D97/TradeMap_Datos!D$5)</f>
        <v>1.04373865097301E-006</v>
      </c>
      <c r="E96" s="11" t="n">
        <f aca="false">IF(TradeMap_Datos!E97="",0,TradeMap_Datos!E97/TradeMap_Datos!E$5)</f>
        <v>1.5166988543868E-006</v>
      </c>
      <c r="F96" s="11" t="n">
        <f aca="false">IF(TradeMap_Datos!F97="",0,TradeMap_Datos!F97/TradeMap_Datos!F$5)</f>
        <v>9.00516153346194E-007</v>
      </c>
      <c r="G96" s="11" t="n">
        <f aca="false">IF(TradeMap_Datos!G97="",0,TradeMap_Datos!G97/TradeMap_Datos!G$5)</f>
        <v>4.9989264805383E-007</v>
      </c>
      <c r="H96" s="11" t="n">
        <f aca="false">IF(TradeMap_Datos!H97="",0,TradeMap_Datos!H97/TradeMap_Datos!H$5)</f>
        <v>2.23936982341673E-006</v>
      </c>
      <c r="I96" s="11" t="n">
        <f aca="false">IF(TradeMap_Datos!I97="",0,TradeMap_Datos!I97/TradeMap_Datos!I$5)</f>
        <v>4.53002415069125E-006</v>
      </c>
      <c r="J96" s="11" t="n">
        <f aca="false">IF(TradeMap_Datos!J97="",0,TradeMap_Datos!J97/TradeMap_Datos!J$5)</f>
        <v>5.43459800957848E-006</v>
      </c>
      <c r="K96" s="11" t="n">
        <f aca="false">IF(TradeMap_Datos!K97="",0,TradeMap_Datos!K97/TradeMap_Datos!K$5)</f>
        <v>6.14692219763738E-006</v>
      </c>
      <c r="L96" s="11" t="n">
        <f aca="false">IF(TradeMap_Datos!L97="",0,TradeMap_Datos!L97/TradeMap_Datos!L$5)</f>
        <v>4.67369944186681E-006</v>
      </c>
    </row>
    <row r="97" customFormat="false" ht="15" hidden="false" customHeight="false" outlineLevel="0" collapsed="false">
      <c r="A97" s="4" t="str">
        <f aca="false">TradeMap_Datos!A98</f>
        <v>768</v>
      </c>
      <c r="B97" s="4" t="str">
        <f aca="false">TradeMap_Datos!B98</f>
        <v>Togo</v>
      </c>
      <c r="C97" s="11" t="n">
        <f aca="false">IF(TradeMap_Datos!C98="",0,TradeMap_Datos!C98/TradeMap_Datos!C$5)</f>
        <v>0</v>
      </c>
      <c r="D97" s="11" t="n">
        <f aca="false">IF(TradeMap_Datos!D98="",0,TradeMap_Datos!D98/TradeMap_Datos!D$5)</f>
        <v>0</v>
      </c>
      <c r="E97" s="11" t="n">
        <f aca="false">IF(TradeMap_Datos!E98="",0,TradeMap_Datos!E98/TradeMap_Datos!E$5)</f>
        <v>0</v>
      </c>
      <c r="F97" s="11" t="n">
        <f aca="false">IF(TradeMap_Datos!F98="",0,TradeMap_Datos!F98/TradeMap_Datos!F$5)</f>
        <v>1.75600649902508E-005</v>
      </c>
      <c r="G97" s="11" t="n">
        <f aca="false">IF(TradeMap_Datos!G98="",0,TradeMap_Datos!G98/TradeMap_Datos!G$5)</f>
        <v>0</v>
      </c>
      <c r="H97" s="11" t="n">
        <f aca="false">IF(TradeMap_Datos!H98="",0,TradeMap_Datos!H98/TradeMap_Datos!H$5)</f>
        <v>0</v>
      </c>
      <c r="I97" s="11" t="n">
        <f aca="false">IF(TradeMap_Datos!I98="",0,TradeMap_Datos!I98/TradeMap_Datos!I$5)</f>
        <v>0</v>
      </c>
      <c r="J97" s="11" t="n">
        <f aca="false">IF(TradeMap_Datos!J98="",0,TradeMap_Datos!J98/TradeMap_Datos!J$5)</f>
        <v>4.34767840766278E-006</v>
      </c>
      <c r="K97" s="11" t="n">
        <f aca="false">IF(TradeMap_Datos!K98="",0,TradeMap_Datos!K98/TradeMap_Datos!K$5)</f>
        <v>0</v>
      </c>
      <c r="L97" s="11" t="n">
        <f aca="false">IF(TradeMap_Datos!L98="",0,TradeMap_Datos!L98/TradeMap_Datos!L$5)</f>
        <v>4.67369944186681E-006</v>
      </c>
    </row>
    <row r="98" customFormat="false" ht="15" hidden="false" customHeight="false" outlineLevel="0" collapsed="false">
      <c r="A98" s="4" t="str">
        <f aca="false">TradeMap_Datos!A99</f>
        <v>222</v>
      </c>
      <c r="B98" s="4" t="str">
        <f aca="false">TradeMap_Datos!B99</f>
        <v>El Salvador</v>
      </c>
      <c r="C98" s="11" t="n">
        <f aca="false">IF(TradeMap_Datos!C99="",0,TradeMap_Datos!C99/TradeMap_Datos!C$5)</f>
        <v>3.57240634368433E-006</v>
      </c>
      <c r="D98" s="11" t="n">
        <f aca="false">IF(TradeMap_Datos!D99="",0,TradeMap_Datos!D99/TradeMap_Datos!D$5)</f>
        <v>1.04373865097301E-005</v>
      </c>
      <c r="E98" s="11" t="n">
        <f aca="false">IF(TradeMap_Datos!E99="",0,TradeMap_Datos!E99/TradeMap_Datos!E$5)</f>
        <v>1.5166988543868E-006</v>
      </c>
      <c r="F98" s="11" t="n">
        <f aca="false">IF(TradeMap_Datos!F99="",0,TradeMap_Datos!F99/TradeMap_Datos!F$5)</f>
        <v>6.75387115009646E-007</v>
      </c>
      <c r="G98" s="11" t="n">
        <f aca="false">IF(TradeMap_Datos!G99="",0,TradeMap_Datos!G99/TradeMap_Datos!G$5)</f>
        <v>4.9989264805383E-007</v>
      </c>
      <c r="H98" s="11" t="n">
        <f aca="false">IF(TradeMap_Datos!H99="",0,TradeMap_Datos!H99/TradeMap_Datos!H$5)</f>
        <v>1.34362189405004E-006</v>
      </c>
      <c r="I98" s="11" t="n">
        <f aca="false">IF(TradeMap_Datos!I99="",0,TradeMap_Datos!I99/TradeMap_Datos!I$5)</f>
        <v>1.04756808484735E-005</v>
      </c>
      <c r="J98" s="11" t="n">
        <f aca="false">IF(TradeMap_Datos!J99="",0,TradeMap_Datos!J99/TradeMap_Datos!J$5)</f>
        <v>1.00540063177202E-005</v>
      </c>
      <c r="K98" s="11" t="n">
        <f aca="false">IF(TradeMap_Datos!K99="",0,TradeMap_Datos!K99/TradeMap_Datos!K$5)</f>
        <v>1.53673054940934E-006</v>
      </c>
      <c r="L98" s="11" t="n">
        <f aca="false">IF(TradeMap_Datos!L99="",0,TradeMap_Datos!L99/TradeMap_Datos!L$5)</f>
        <v>3.42737959070233E-006</v>
      </c>
    </row>
    <row r="99" customFormat="false" ht="15" hidden="false" customHeight="false" outlineLevel="0" collapsed="false">
      <c r="A99" s="4" t="str">
        <f aca="false">TradeMap_Datos!A100</f>
        <v>562</v>
      </c>
      <c r="B99" s="4" t="str">
        <f aca="false">TradeMap_Datos!B100</f>
        <v>Níger</v>
      </c>
      <c r="C99" s="11" t="n">
        <f aca="false">IF(TradeMap_Datos!C100="",0,TradeMap_Datos!C100/TradeMap_Datos!C$5)</f>
        <v>3.24764213062212E-006</v>
      </c>
      <c r="D99" s="11" t="n">
        <f aca="false">IF(TradeMap_Datos!D100="",0,TradeMap_Datos!D100/TradeMap_Datos!D$5)</f>
        <v>0</v>
      </c>
      <c r="E99" s="11" t="n">
        <f aca="false">IF(TradeMap_Datos!E100="",0,TradeMap_Datos!E100/TradeMap_Datos!E$5)</f>
        <v>0</v>
      </c>
      <c r="F99" s="11" t="n">
        <f aca="false">IF(TradeMap_Datos!F100="",0,TradeMap_Datos!F100/TradeMap_Datos!F$5)</f>
        <v>0</v>
      </c>
      <c r="G99" s="11" t="n">
        <f aca="false">IF(TradeMap_Datos!G100="",0,TradeMap_Datos!G100/TradeMap_Datos!G$5)</f>
        <v>0</v>
      </c>
      <c r="H99" s="11" t="n">
        <f aca="false">IF(TradeMap_Datos!H100="",0,TradeMap_Datos!H100/TradeMap_Datos!H$5)</f>
        <v>0</v>
      </c>
      <c r="I99" s="11" t="n">
        <f aca="false">IF(TradeMap_Datos!I100="",0,TradeMap_Datos!I100/TradeMap_Datos!I$5)</f>
        <v>0</v>
      </c>
      <c r="J99" s="11" t="n">
        <f aca="false">IF(TradeMap_Datos!J100="",0,TradeMap_Datos!J100/TradeMap_Datos!J$5)</f>
        <v>0</v>
      </c>
      <c r="K99" s="11" t="n">
        <f aca="false">IF(TradeMap_Datos!K100="",0,TradeMap_Datos!K100/TradeMap_Datos!K$5)</f>
        <v>0</v>
      </c>
      <c r="L99" s="11" t="n">
        <f aca="false">IF(TradeMap_Datos!L100="",0,TradeMap_Datos!L100/TradeMap_Datos!L$5)</f>
        <v>2.49263970232897E-006</v>
      </c>
    </row>
    <row r="100" customFormat="false" ht="15" hidden="false" customHeight="false" outlineLevel="0" collapsed="false">
      <c r="A100" s="4" t="str">
        <f aca="false">TradeMap_Datos!A101</f>
        <v>882</v>
      </c>
      <c r="B100" s="4" t="str">
        <f aca="false">TradeMap_Datos!B101</f>
        <v>Samoa</v>
      </c>
      <c r="C100" s="11" t="n">
        <f aca="false">IF(TradeMap_Datos!C101="",0,TradeMap_Datos!C101/TradeMap_Datos!C$5)</f>
        <v>9.74292639186635E-007</v>
      </c>
      <c r="D100" s="11" t="n">
        <f aca="false">IF(TradeMap_Datos!D101="",0,TradeMap_Datos!D101/TradeMap_Datos!D$5)</f>
        <v>1.56560797645952E-006</v>
      </c>
      <c r="E100" s="11" t="n">
        <f aca="false">IF(TradeMap_Datos!E101="",0,TradeMap_Datos!E101/TradeMap_Datos!E$5)</f>
        <v>1.18808076926966E-005</v>
      </c>
      <c r="F100" s="11" t="n">
        <f aca="false">IF(TradeMap_Datos!F101="",0,TradeMap_Datos!F101/TradeMap_Datos!F$5)</f>
        <v>2.47641942170203E-006</v>
      </c>
      <c r="G100" s="11" t="n">
        <f aca="false">IF(TradeMap_Datos!G101="",0,TradeMap_Datos!G101/TradeMap_Datos!G$5)</f>
        <v>1.74962426818841E-005</v>
      </c>
      <c r="H100" s="11" t="n">
        <f aca="false">IF(TradeMap_Datos!H101="",0,TradeMap_Datos!H101/TradeMap_Datos!H$5)</f>
        <v>5.88954263558601E-005</v>
      </c>
      <c r="I100" s="11" t="n">
        <f aca="false">IF(TradeMap_Datos!I101="",0,TradeMap_Datos!I101/TradeMap_Datos!I$5)</f>
        <v>3.0577663017166E-005</v>
      </c>
      <c r="J100" s="11" t="n">
        <f aca="false">IF(TradeMap_Datos!J101="",0,TradeMap_Datos!J101/TradeMap_Datos!J$5)</f>
        <v>8.15189701436772E-006</v>
      </c>
      <c r="K100" s="11" t="n">
        <f aca="false">IF(TradeMap_Datos!K101="",0,TradeMap_Datos!K101/TradeMap_Datos!K$5)</f>
        <v>3.84182637352336E-006</v>
      </c>
      <c r="L100" s="11" t="n">
        <f aca="false">IF(TradeMap_Datos!L101="",0,TradeMap_Datos!L101/TradeMap_Datos!L$5)</f>
        <v>2.49263970232897E-006</v>
      </c>
    </row>
    <row r="101" customFormat="false" ht="15" hidden="false" customHeight="false" outlineLevel="0" collapsed="false">
      <c r="A101" s="4" t="str">
        <f aca="false">TradeMap_Datos!A102</f>
        <v>858</v>
      </c>
      <c r="B101" s="4" t="str">
        <f aca="false">TradeMap_Datos!B102</f>
        <v>Uruguay</v>
      </c>
      <c r="C101" s="11" t="n">
        <f aca="false">IF(TradeMap_Datos!C102="",0,TradeMap_Datos!C102/TradeMap_Datos!C$5)</f>
        <v>3.24764213062212E-007</v>
      </c>
      <c r="D101" s="11" t="n">
        <f aca="false">IF(TradeMap_Datos!D102="",0,TradeMap_Datos!D102/TradeMap_Datos!D$5)</f>
        <v>0</v>
      </c>
      <c r="E101" s="11" t="n">
        <f aca="false">IF(TradeMap_Datos!E102="",0,TradeMap_Datos!E102/TradeMap_Datos!E$5)</f>
        <v>2.527831423978E-007</v>
      </c>
      <c r="F101" s="11" t="n">
        <f aca="false">IF(TradeMap_Datos!F102="",0,TradeMap_Datos!F102/TradeMap_Datos!F$5)</f>
        <v>0</v>
      </c>
      <c r="G101" s="11" t="n">
        <f aca="false">IF(TradeMap_Datos!G102="",0,TradeMap_Datos!G102/TradeMap_Datos!G$5)</f>
        <v>0</v>
      </c>
      <c r="H101" s="11" t="n">
        <f aca="false">IF(TradeMap_Datos!H102="",0,TradeMap_Datos!H102/TradeMap_Datos!H$5)</f>
        <v>6.7181094702502E-007</v>
      </c>
      <c r="I101" s="11" t="n">
        <f aca="false">IF(TradeMap_Datos!I102="",0,TradeMap_Datos!I102/TradeMap_Datos!I$5)</f>
        <v>8.4937952825461E-007</v>
      </c>
      <c r="J101" s="11" t="n">
        <f aca="false">IF(TradeMap_Datos!J102="",0,TradeMap_Datos!J102/TradeMap_Datos!J$5)</f>
        <v>8.15189701436772E-007</v>
      </c>
      <c r="K101" s="11" t="n">
        <f aca="false">IF(TradeMap_Datos!K102="",0,TradeMap_Datos!K102/TradeMap_Datos!K$5)</f>
        <v>7.68365274704672E-007</v>
      </c>
      <c r="L101" s="11" t="n">
        <f aca="false">IF(TradeMap_Datos!L102="",0,TradeMap_Datos!L102/TradeMap_Datos!L$5)</f>
        <v>1.86947977674673E-006</v>
      </c>
    </row>
    <row r="102" customFormat="false" ht="15" hidden="false" customHeight="false" outlineLevel="0" collapsed="false">
      <c r="A102" s="4" t="str">
        <f aca="false">TradeMap_Datos!A103</f>
        <v>854</v>
      </c>
      <c r="B102" s="4" t="str">
        <f aca="false">TradeMap_Datos!B103</f>
        <v>Burkina Faso</v>
      </c>
      <c r="C102" s="11" t="n">
        <f aca="false">IF(TradeMap_Datos!C103="",0,TradeMap_Datos!C103/TradeMap_Datos!C$5)</f>
        <v>3.24764213062212E-007</v>
      </c>
      <c r="D102" s="11" t="n">
        <f aca="false">IF(TradeMap_Datos!D103="",0,TradeMap_Datos!D103/TradeMap_Datos!D$5)</f>
        <v>0</v>
      </c>
      <c r="E102" s="11" t="n">
        <f aca="false">IF(TradeMap_Datos!E103="",0,TradeMap_Datos!E103/TradeMap_Datos!E$5)</f>
        <v>2.527831423978E-007</v>
      </c>
      <c r="F102" s="11" t="n">
        <f aca="false">IF(TradeMap_Datos!F103="",0,TradeMap_Datos!F103/TradeMap_Datos!F$5)</f>
        <v>6.75387115009646E-007</v>
      </c>
      <c r="G102" s="11" t="n">
        <f aca="false">IF(TradeMap_Datos!G103="",0,TradeMap_Datos!G103/TradeMap_Datos!G$5)</f>
        <v>2.24951691624224E-006</v>
      </c>
      <c r="H102" s="11" t="n">
        <f aca="false">IF(TradeMap_Datos!H103="",0,TradeMap_Datos!H103/TradeMap_Datos!H$5)</f>
        <v>4.92661361151681E-006</v>
      </c>
      <c r="I102" s="11" t="n">
        <f aca="false">IF(TradeMap_Datos!I103="",0,TradeMap_Datos!I103/TradeMap_Datos!I$5)</f>
        <v>0</v>
      </c>
      <c r="J102" s="11" t="n">
        <f aca="false">IF(TradeMap_Datos!J103="",0,TradeMap_Datos!J103/TradeMap_Datos!J$5)</f>
        <v>5.43459800957848E-007</v>
      </c>
      <c r="K102" s="11" t="n">
        <f aca="false">IF(TradeMap_Datos!K103="",0,TradeMap_Datos!K103/TradeMap_Datos!K$5)</f>
        <v>0</v>
      </c>
      <c r="L102" s="11" t="n">
        <f aca="false">IF(TradeMap_Datos!L103="",0,TradeMap_Datos!L103/TradeMap_Datos!L$5)</f>
        <v>0</v>
      </c>
    </row>
    <row r="103" customFormat="false" ht="15" hidden="false" customHeight="false" outlineLevel="0" collapsed="false">
      <c r="A103" s="4" t="str">
        <f aca="false">TradeMap_Datos!A104</f>
        <v>579</v>
      </c>
      <c r="B103" s="4" t="str">
        <f aca="false">TradeMap_Datos!B104</f>
        <v>Noruega</v>
      </c>
      <c r="C103" s="11" t="n">
        <f aca="false">IF(TradeMap_Datos!C104="",0,TradeMap_Datos!C104/TradeMap_Datos!C$5)</f>
        <v>1.62382106531106E-006</v>
      </c>
      <c r="D103" s="11" t="n">
        <f aca="false">IF(TradeMap_Datos!D104="",0,TradeMap_Datos!D104/TradeMap_Datos!D$5)</f>
        <v>5.21869325486506E-006</v>
      </c>
      <c r="E103" s="11" t="n">
        <f aca="false">IF(TradeMap_Datos!E104="",0,TradeMap_Datos!E104/TradeMap_Datos!E$5)</f>
        <v>2.527831423978E-006</v>
      </c>
      <c r="F103" s="11" t="n">
        <f aca="false">IF(TradeMap_Datos!F104="",0,TradeMap_Datos!F104/TradeMap_Datos!F$5)</f>
        <v>2.47641942170203E-006</v>
      </c>
      <c r="G103" s="11" t="n">
        <f aca="false">IF(TradeMap_Datos!G104="",0,TradeMap_Datos!G104/TradeMap_Datos!G$5)</f>
        <v>0</v>
      </c>
      <c r="H103" s="11" t="n">
        <f aca="false">IF(TradeMap_Datos!H104="",0,TradeMap_Datos!H104/TradeMap_Datos!H$5)</f>
        <v>8.95747929366693E-006</v>
      </c>
      <c r="I103" s="11" t="n">
        <f aca="false">IF(TradeMap_Datos!I104="",0,TradeMap_Datos!I104/TradeMap_Datos!I$5)</f>
        <v>0</v>
      </c>
      <c r="J103" s="11" t="n">
        <f aca="false">IF(TradeMap_Datos!J104="",0,TradeMap_Datos!J104/TradeMap_Datos!J$5)</f>
        <v>1.35864950239462E-006</v>
      </c>
      <c r="K103" s="11" t="n">
        <f aca="false">IF(TradeMap_Datos!K104="",0,TradeMap_Datos!K104/TradeMap_Datos!K$5)</f>
        <v>2.56121758234891E-007</v>
      </c>
      <c r="L103" s="11" t="n">
        <f aca="false">IF(TradeMap_Datos!L104="",0,TradeMap_Datos!L104/TradeMap_Datos!L$5)</f>
        <v>0</v>
      </c>
    </row>
    <row r="104" customFormat="false" ht="15" hidden="false" customHeight="false" outlineLevel="0" collapsed="false">
      <c r="A104" s="4" t="str">
        <f aca="false">TradeMap_Datos!A105</f>
        <v>496</v>
      </c>
      <c r="B104" s="4" t="str">
        <f aca="false">TradeMap_Datos!B105</f>
        <v>Mongolia</v>
      </c>
      <c r="C104" s="11" t="n">
        <f aca="false">IF(TradeMap_Datos!C105="",0,TradeMap_Datos!C105/TradeMap_Datos!C$5)</f>
        <v>0</v>
      </c>
      <c r="D104" s="11" t="n">
        <f aca="false">IF(TradeMap_Datos!D105="",0,TradeMap_Datos!D105/TradeMap_Datos!D$5)</f>
        <v>0</v>
      </c>
      <c r="E104" s="11" t="n">
        <f aca="false">IF(TradeMap_Datos!E105="",0,TradeMap_Datos!E105/TradeMap_Datos!E$5)</f>
        <v>0</v>
      </c>
      <c r="F104" s="11" t="n">
        <f aca="false">IF(TradeMap_Datos!F105="",0,TradeMap_Datos!F105/TradeMap_Datos!F$5)</f>
        <v>0</v>
      </c>
      <c r="G104" s="11" t="n">
        <f aca="false">IF(TradeMap_Datos!G105="",0,TradeMap_Datos!G105/TradeMap_Datos!G$5)</f>
        <v>0</v>
      </c>
      <c r="H104" s="11" t="n">
        <f aca="false">IF(TradeMap_Datos!H105="",0,TradeMap_Datos!H105/TradeMap_Datos!H$5)</f>
        <v>8.95747929366693E-007</v>
      </c>
      <c r="I104" s="11" t="n">
        <f aca="false">IF(TradeMap_Datos!I105="",0,TradeMap_Datos!I105/TradeMap_Datos!I$5)</f>
        <v>0</v>
      </c>
      <c r="J104" s="11" t="n">
        <f aca="false">IF(TradeMap_Datos!J105="",0,TradeMap_Datos!J105/TradeMap_Datos!J$5)</f>
        <v>0</v>
      </c>
      <c r="K104" s="11" t="n">
        <f aca="false">IF(TradeMap_Datos!K105="",0,TradeMap_Datos!K105/TradeMap_Datos!K$5)</f>
        <v>0</v>
      </c>
      <c r="L104" s="11" t="n">
        <f aca="false">IF(TradeMap_Datos!L105="",0,TradeMap_Datos!L105/TradeMap_Datos!L$5)</f>
        <v>0</v>
      </c>
    </row>
    <row r="105" customFormat="false" ht="15" hidden="false" customHeight="false" outlineLevel="0" collapsed="false">
      <c r="A105" s="4" t="str">
        <f aca="false">TradeMap_Datos!A106</f>
        <v>470</v>
      </c>
      <c r="B105" s="4" t="str">
        <f aca="false">TradeMap_Datos!B106</f>
        <v>Malta</v>
      </c>
      <c r="C105" s="11" t="n">
        <f aca="false">IF(TradeMap_Datos!C106="",0,TradeMap_Datos!C106/TradeMap_Datos!C$5)</f>
        <v>0</v>
      </c>
      <c r="D105" s="11" t="n">
        <f aca="false">IF(TradeMap_Datos!D106="",0,TradeMap_Datos!D106/TradeMap_Datos!D$5)</f>
        <v>0</v>
      </c>
      <c r="E105" s="11" t="n">
        <f aca="false">IF(TradeMap_Datos!E106="",0,TradeMap_Datos!E106/TradeMap_Datos!E$5)</f>
        <v>0</v>
      </c>
      <c r="F105" s="11" t="n">
        <f aca="false">IF(TradeMap_Datos!F106="",0,TradeMap_Datos!F106/TradeMap_Datos!F$5)</f>
        <v>0</v>
      </c>
      <c r="G105" s="11" t="n">
        <f aca="false">IF(TradeMap_Datos!G106="",0,TradeMap_Datos!G106/TradeMap_Datos!G$5)</f>
        <v>0</v>
      </c>
      <c r="H105" s="11" t="n">
        <f aca="false">IF(TradeMap_Datos!H106="",0,TradeMap_Datos!H106/TradeMap_Datos!H$5)</f>
        <v>0</v>
      </c>
      <c r="I105" s="11" t="n">
        <f aca="false">IF(TradeMap_Datos!I106="",0,TradeMap_Datos!I106/TradeMap_Datos!I$5)</f>
        <v>5.66253018836407E-007</v>
      </c>
      <c r="J105" s="11" t="n">
        <f aca="false">IF(TradeMap_Datos!J106="",0,TradeMap_Datos!J106/TradeMap_Datos!J$5)</f>
        <v>2.71729900478924E-007</v>
      </c>
      <c r="K105" s="11" t="n">
        <f aca="false">IF(TradeMap_Datos!K106="",0,TradeMap_Datos!K106/TradeMap_Datos!K$5)</f>
        <v>2.56121758234891E-007</v>
      </c>
      <c r="L105" s="11" t="n">
        <f aca="false">IF(TradeMap_Datos!L106="",0,TradeMap_Datos!L106/TradeMap_Datos!L$5)</f>
        <v>0</v>
      </c>
    </row>
    <row r="106" customFormat="false" ht="15" hidden="false" customHeight="false" outlineLevel="0" collapsed="false">
      <c r="A106" s="4" t="str">
        <f aca="false">TradeMap_Datos!A107</f>
        <v>376</v>
      </c>
      <c r="B106" s="4" t="str">
        <f aca="false">TradeMap_Datos!B107</f>
        <v>Israel</v>
      </c>
      <c r="C106" s="11" t="n">
        <f aca="false">IF(TradeMap_Datos!C107="",0,TradeMap_Datos!C107/TradeMap_Datos!C$5)</f>
        <v>0.0101030899041523</v>
      </c>
      <c r="D106" s="11" t="n">
        <f aca="false">IF(TradeMap_Datos!D107="",0,TradeMap_Datos!D107/TradeMap_Datos!D$5)</f>
        <v>0.00809132295700554</v>
      </c>
      <c r="E106" s="11" t="n">
        <f aca="false">IF(TradeMap_Datos!E107="",0,TradeMap_Datos!E107/TradeMap_Datos!E$5)</f>
        <v>0.00592043397809887</v>
      </c>
      <c r="F106" s="11" t="n">
        <f aca="false">IF(TradeMap_Datos!F107="",0,TradeMap_Datos!F107/TradeMap_Datos!F$5)</f>
        <v>0.00447556528213059</v>
      </c>
      <c r="G106" s="11" t="n">
        <f aca="false">IF(TradeMap_Datos!G107="",0,TradeMap_Datos!G107/TradeMap_Datos!G$5)</f>
        <v>0.00539434156514889</v>
      </c>
      <c r="H106" s="11" t="n">
        <f aca="false">IF(TradeMap_Datos!H107="",0,TradeMap_Datos!H107/TradeMap_Datos!H$5)</f>
        <v>0.00441626122876014</v>
      </c>
      <c r="I106" s="11" t="n">
        <f aca="false">IF(TradeMap_Datos!I107="",0,TradeMap_Datos!I107/TradeMap_Datos!I$5)</f>
        <v>0.00555154459667213</v>
      </c>
      <c r="J106" s="11" t="n">
        <f aca="false">IF(TradeMap_Datos!J107="",0,TradeMap_Datos!J107/TradeMap_Datos!J$5)</f>
        <v>0.00520987738188241</v>
      </c>
      <c r="K106" s="11" t="n">
        <f aca="false">IF(TradeMap_Datos!K107="",0,TradeMap_Datos!K107/TradeMap_Datos!K$5)</f>
        <v>0.00605523060818929</v>
      </c>
      <c r="L106" s="11" t="n">
        <f aca="false">IF(TradeMap_Datos!L107="",0,TradeMap_Datos!L107/TradeMap_Datos!L$5)</f>
        <v>0</v>
      </c>
    </row>
    <row r="107" customFormat="false" ht="15" hidden="false" customHeight="false" outlineLevel="0" collapsed="false">
      <c r="A107" s="4" t="str">
        <f aca="false">TradeMap_Datos!A108</f>
        <v>678</v>
      </c>
      <c r="B107" s="4" t="str">
        <f aca="false">TradeMap_Datos!B108</f>
        <v>Sao Tomé y Príncipe</v>
      </c>
      <c r="C107" s="11" t="n">
        <f aca="false">IF(TradeMap_Datos!C108="",0,TradeMap_Datos!C108/TradeMap_Datos!C$5)</f>
        <v>0</v>
      </c>
      <c r="D107" s="11" t="n">
        <f aca="false">IF(TradeMap_Datos!D108="",0,TradeMap_Datos!D108/TradeMap_Datos!D$5)</f>
        <v>0</v>
      </c>
      <c r="E107" s="11" t="n">
        <f aca="false">IF(TradeMap_Datos!E108="",0,TradeMap_Datos!E108/TradeMap_Datos!E$5)</f>
        <v>0</v>
      </c>
      <c r="F107" s="11" t="n">
        <f aca="false">IF(TradeMap_Datos!F108="",0,TradeMap_Datos!F108/TradeMap_Datos!F$5)</f>
        <v>0</v>
      </c>
      <c r="G107" s="11" t="n">
        <f aca="false">IF(TradeMap_Datos!G108="",0,TradeMap_Datos!G108/TradeMap_Datos!G$5)</f>
        <v>0</v>
      </c>
      <c r="H107" s="11" t="n">
        <f aca="false">IF(TradeMap_Datos!H108="",0,TradeMap_Datos!H108/TradeMap_Datos!H$5)</f>
        <v>0</v>
      </c>
      <c r="I107" s="11" t="n">
        <f aca="false">IF(TradeMap_Datos!I108="",0,TradeMap_Datos!I108/TradeMap_Datos!I$5)</f>
        <v>0</v>
      </c>
      <c r="J107" s="11" t="n">
        <f aca="false">IF(TradeMap_Datos!J108="",0,TradeMap_Datos!J108/TradeMap_Datos!J$5)</f>
        <v>2.44556910431032E-006</v>
      </c>
      <c r="K107" s="11" t="n">
        <f aca="false">IF(TradeMap_Datos!K108="",0,TradeMap_Datos!K108/TradeMap_Datos!K$5)</f>
        <v>0</v>
      </c>
      <c r="L107" s="11" t="n">
        <f aca="false">IF(TradeMap_Datos!L108="",0,TradeMap_Datos!L108/TradeMap_Datos!L$5)</f>
        <v>0</v>
      </c>
    </row>
    <row r="108" customFormat="false" ht="15" hidden="false" customHeight="false" outlineLevel="0" collapsed="false">
      <c r="A108" s="4" t="str">
        <f aca="false">TradeMap_Datos!A109</f>
        <v>204</v>
      </c>
      <c r="B108" s="4" t="str">
        <f aca="false">TradeMap_Datos!B109</f>
        <v>Benin</v>
      </c>
      <c r="C108" s="11" t="n">
        <f aca="false">IF(TradeMap_Datos!C109="",0,TradeMap_Datos!C109/TradeMap_Datos!C$5)</f>
        <v>0</v>
      </c>
      <c r="D108" s="11" t="n">
        <f aca="false">IF(TradeMap_Datos!D109="",0,TradeMap_Datos!D109/TradeMap_Datos!D$5)</f>
        <v>1.14811251607031E-005</v>
      </c>
      <c r="E108" s="11" t="n">
        <f aca="false">IF(TradeMap_Datos!E109="",0,TradeMap_Datos!E109/TradeMap_Datos!E$5)</f>
        <v>0</v>
      </c>
      <c r="F108" s="11" t="n">
        <f aca="false">IF(TradeMap_Datos!F109="",0,TradeMap_Datos!F109/TradeMap_Datos!F$5)</f>
        <v>9.00516153346194E-007</v>
      </c>
      <c r="G108" s="11" t="n">
        <f aca="false">IF(TradeMap_Datos!G109="",0,TradeMap_Datos!G109/TradeMap_Datos!G$5)</f>
        <v>0</v>
      </c>
      <c r="H108" s="11" t="n">
        <f aca="false">IF(TradeMap_Datos!H109="",0,TradeMap_Datos!H109/TradeMap_Datos!H$5)</f>
        <v>0</v>
      </c>
      <c r="I108" s="11" t="n">
        <f aca="false">IF(TradeMap_Datos!I109="",0,TradeMap_Datos!I109/TradeMap_Datos!I$5)</f>
        <v>0</v>
      </c>
      <c r="J108" s="11" t="n">
        <f aca="false">IF(TradeMap_Datos!J109="",0,TradeMap_Datos!J109/TradeMap_Datos!J$5)</f>
        <v>2.71729900478924E-007</v>
      </c>
      <c r="K108" s="11" t="n">
        <f aca="false">IF(TradeMap_Datos!K109="",0,TradeMap_Datos!K109/TradeMap_Datos!K$5)</f>
        <v>0</v>
      </c>
      <c r="L108" s="11" t="n">
        <f aca="false">IF(TradeMap_Datos!L109="",0,TradeMap_Datos!L109/TradeMap_Datos!L$5)</f>
        <v>0</v>
      </c>
    </row>
    <row r="109" customFormat="false" ht="15" hidden="false" customHeight="false" outlineLevel="0" collapsed="false">
      <c r="A109" s="4" t="str">
        <f aca="false">TradeMap_Datos!A110</f>
        <v>084</v>
      </c>
      <c r="B109" s="4" t="str">
        <f aca="false">TradeMap_Datos!B110</f>
        <v>Belice</v>
      </c>
      <c r="C109" s="11" t="n">
        <f aca="false">IF(TradeMap_Datos!C110="",0,TradeMap_Datos!C110/TradeMap_Datos!C$5)</f>
        <v>6.49528426124423E-007</v>
      </c>
      <c r="D109" s="11" t="n">
        <f aca="false">IF(TradeMap_Datos!D110="",0,TradeMap_Datos!D110/TradeMap_Datos!D$5)</f>
        <v>1.04373865097301E-006</v>
      </c>
      <c r="E109" s="11" t="n">
        <f aca="false">IF(TradeMap_Datos!E110="",0,TradeMap_Datos!E110/TradeMap_Datos!E$5)</f>
        <v>5.055662847956E-007</v>
      </c>
      <c r="F109" s="11" t="n">
        <f aca="false">IF(TradeMap_Datos!F110="",0,TradeMap_Datos!F110/TradeMap_Datos!F$5)</f>
        <v>0</v>
      </c>
      <c r="G109" s="11" t="n">
        <f aca="false">IF(TradeMap_Datos!G110="",0,TradeMap_Datos!G110/TradeMap_Datos!G$5)</f>
        <v>0</v>
      </c>
      <c r="H109" s="11" t="n">
        <f aca="false">IF(TradeMap_Datos!H110="",0,TradeMap_Datos!H110/TradeMap_Datos!H$5)</f>
        <v>0</v>
      </c>
      <c r="I109" s="11" t="n">
        <f aca="false">IF(TradeMap_Datos!I110="",0,TradeMap_Datos!I110/TradeMap_Datos!I$5)</f>
        <v>0</v>
      </c>
      <c r="J109" s="11" t="n">
        <f aca="false">IF(TradeMap_Datos!J110="",0,TradeMap_Datos!J110/TradeMap_Datos!J$5)</f>
        <v>0</v>
      </c>
      <c r="K109" s="11" t="n">
        <f aca="false">IF(TradeMap_Datos!K110="",0,TradeMap_Datos!K110/TradeMap_Datos!K$5)</f>
        <v>0</v>
      </c>
      <c r="L109" s="11" t="n">
        <f aca="false">IF(TradeMap_Datos!L110="",0,TradeMap_Datos!L110/TradeMap_Datos!L$5)</f>
        <v>0</v>
      </c>
    </row>
    <row r="110" customFormat="false" ht="15" hidden="false" customHeight="false" outlineLevel="0" collapsed="false">
      <c r="A110" s="4" t="str">
        <f aca="false">TradeMap_Datos!A111</f>
        <v>096</v>
      </c>
      <c r="B110" s="4" t="str">
        <f aca="false">TradeMap_Datos!B111</f>
        <v>Brunei Darussalam</v>
      </c>
      <c r="C110" s="11" t="n">
        <f aca="false">IF(TradeMap_Datos!C111="",0,TradeMap_Datos!C111/TradeMap_Datos!C$5)</f>
        <v>0.000119188466193832</v>
      </c>
      <c r="D110" s="11" t="n">
        <f aca="false">IF(TradeMap_Datos!D111="",0,TradeMap_Datos!D111/TradeMap_Datos!D$5)</f>
        <v>0</v>
      </c>
      <c r="E110" s="11" t="n">
        <f aca="false">IF(TradeMap_Datos!E111="",0,TradeMap_Datos!E111/TradeMap_Datos!E$5)</f>
        <v>0</v>
      </c>
      <c r="F110" s="11" t="n">
        <f aca="false">IF(TradeMap_Datos!F111="",0,TradeMap_Datos!F111/TradeMap_Datos!F$5)</f>
        <v>0</v>
      </c>
      <c r="G110" s="11" t="n">
        <f aca="false">IF(TradeMap_Datos!G111="",0,TradeMap_Datos!G111/TradeMap_Datos!G$5)</f>
        <v>0</v>
      </c>
      <c r="H110" s="11" t="n">
        <f aca="false">IF(TradeMap_Datos!H111="",0,TradeMap_Datos!H111/TradeMap_Datos!H$5)</f>
        <v>0</v>
      </c>
      <c r="I110" s="11" t="n">
        <f aca="false">IF(TradeMap_Datos!I111="",0,TradeMap_Datos!I111/TradeMap_Datos!I$5)</f>
        <v>0</v>
      </c>
      <c r="J110" s="11" t="n">
        <f aca="false">IF(TradeMap_Datos!J111="",0,TradeMap_Datos!J111/TradeMap_Datos!J$5)</f>
        <v>0</v>
      </c>
      <c r="K110" s="11" t="n">
        <f aca="false">IF(TradeMap_Datos!K111="",0,TradeMap_Datos!K111/TradeMap_Datos!K$5)</f>
        <v>0</v>
      </c>
      <c r="L110" s="11" t="n">
        <f aca="false">IF(TradeMap_Datos!L111="",0,TradeMap_Datos!L111/TradeMap_Datos!L$5)</f>
        <v>0</v>
      </c>
    </row>
    <row r="111" customFormat="false" ht="15" hidden="false" customHeight="false" outlineLevel="0" collapsed="false">
      <c r="A111" s="4" t="str">
        <f aca="false">TradeMap_Datos!A112</f>
        <v>180</v>
      </c>
      <c r="B111" s="4" t="str">
        <f aca="false">TradeMap_Datos!B112</f>
        <v>Congo, República Democrática del</v>
      </c>
      <c r="C111" s="11" t="n">
        <f aca="false">IF(TradeMap_Datos!C112="",0,TradeMap_Datos!C112/TradeMap_Datos!C$5)</f>
        <v>0</v>
      </c>
      <c r="D111" s="11" t="n">
        <f aca="false">IF(TradeMap_Datos!D112="",0,TradeMap_Datos!D112/TradeMap_Datos!D$5)</f>
        <v>5.21869325486506E-007</v>
      </c>
      <c r="E111" s="11" t="n">
        <f aca="false">IF(TradeMap_Datos!E112="",0,TradeMap_Datos!E112/TradeMap_Datos!E$5)</f>
        <v>2.2750482815802E-006</v>
      </c>
      <c r="F111" s="11" t="n">
        <f aca="false">IF(TradeMap_Datos!F112="",0,TradeMap_Datos!F112/TradeMap_Datos!F$5)</f>
        <v>0</v>
      </c>
      <c r="G111" s="11" t="n">
        <f aca="false">IF(TradeMap_Datos!G112="",0,TradeMap_Datos!G112/TradeMap_Datos!G$5)</f>
        <v>0</v>
      </c>
      <c r="H111" s="11" t="n">
        <f aca="false">IF(TradeMap_Datos!H112="",0,TradeMap_Datos!H112/TradeMap_Datos!H$5)</f>
        <v>0</v>
      </c>
      <c r="I111" s="11" t="n">
        <f aca="false">IF(TradeMap_Datos!I112="",0,TradeMap_Datos!I112/TradeMap_Datos!I$5)</f>
        <v>0</v>
      </c>
      <c r="J111" s="11" t="n">
        <f aca="false">IF(TradeMap_Datos!J112="",0,TradeMap_Datos!J112/TradeMap_Datos!J$5)</f>
        <v>2.71729900478924E-007</v>
      </c>
      <c r="K111" s="11" t="n">
        <f aca="false">IF(TradeMap_Datos!K112="",0,TradeMap_Datos!K112/TradeMap_Datos!K$5)</f>
        <v>0</v>
      </c>
      <c r="L111" s="11" t="n">
        <f aca="false">IF(TradeMap_Datos!L112="",0,TradeMap_Datos!L112/TradeMap_Datos!L$5)</f>
        <v>0</v>
      </c>
    </row>
    <row r="112" customFormat="false" ht="15" hidden="false" customHeight="false" outlineLevel="0" collapsed="false">
      <c r="A112" s="4" t="str">
        <f aca="false">TradeMap_Datos!A113</f>
        <v>064</v>
      </c>
      <c r="B112" s="4" t="str">
        <f aca="false">TradeMap_Datos!B113</f>
        <v>Bhután</v>
      </c>
      <c r="C112" s="11" t="n">
        <f aca="false">IF(TradeMap_Datos!C113="",0,TradeMap_Datos!C113/TradeMap_Datos!C$5)</f>
        <v>0</v>
      </c>
      <c r="D112" s="11" t="n">
        <f aca="false">IF(TradeMap_Datos!D113="",0,TradeMap_Datos!D113/TradeMap_Datos!D$5)</f>
        <v>0</v>
      </c>
      <c r="E112" s="11" t="n">
        <f aca="false">IF(TradeMap_Datos!E113="",0,TradeMap_Datos!E113/TradeMap_Datos!E$5)</f>
        <v>0</v>
      </c>
      <c r="F112" s="11" t="n">
        <f aca="false">IF(TradeMap_Datos!F113="",0,TradeMap_Datos!F113/TradeMap_Datos!F$5)</f>
        <v>0</v>
      </c>
      <c r="G112" s="11" t="n">
        <f aca="false">IF(TradeMap_Datos!G113="",0,TradeMap_Datos!G113/TradeMap_Datos!G$5)</f>
        <v>0</v>
      </c>
      <c r="H112" s="11" t="n">
        <f aca="false">IF(TradeMap_Datos!H113="",0,TradeMap_Datos!H113/TradeMap_Datos!H$5)</f>
        <v>2.23936982341673E-007</v>
      </c>
      <c r="I112" s="11" t="n">
        <f aca="false">IF(TradeMap_Datos!I113="",0,TradeMap_Datos!I113/TradeMap_Datos!I$5)</f>
        <v>0</v>
      </c>
      <c r="J112" s="11" t="n">
        <f aca="false">IF(TradeMap_Datos!J113="",0,TradeMap_Datos!J113/TradeMap_Datos!J$5)</f>
        <v>8.15189701436772E-007</v>
      </c>
      <c r="K112" s="11" t="n">
        <f aca="false">IF(TradeMap_Datos!K113="",0,TradeMap_Datos!K113/TradeMap_Datos!K$5)</f>
        <v>0</v>
      </c>
      <c r="L112" s="11" t="n">
        <f aca="false">IF(TradeMap_Datos!L113="",0,TradeMap_Datos!L113/TradeMap_Datos!L$5)</f>
        <v>0</v>
      </c>
    </row>
    <row r="113" customFormat="false" ht="15" hidden="false" customHeight="false" outlineLevel="0" collapsed="false">
      <c r="A113" s="4" t="str">
        <f aca="false">TradeMap_Datos!A114</f>
        <v>032</v>
      </c>
      <c r="B113" s="4" t="str">
        <f aca="false">TradeMap_Datos!B114</f>
        <v>Argentina</v>
      </c>
      <c r="C113" s="11" t="n">
        <f aca="false">IF(TradeMap_Datos!C114="",0,TradeMap_Datos!C114/TradeMap_Datos!C$5)</f>
        <v>0.000277998166381253</v>
      </c>
      <c r="D113" s="11" t="n">
        <f aca="false">IF(TradeMap_Datos!D114="",0,TradeMap_Datos!D114/TradeMap_Datos!D$5)</f>
        <v>0.000354610206668081</v>
      </c>
      <c r="E113" s="11" t="n">
        <f aca="false">IF(TradeMap_Datos!E114="",0,TradeMap_Datos!E114/TradeMap_Datos!E$5)</f>
        <v>0</v>
      </c>
      <c r="F113" s="11" t="n">
        <f aca="false">IF(TradeMap_Datos!F114="",0,TradeMap_Datos!F114/TradeMap_Datos!F$5)</f>
        <v>0.00066795785674454</v>
      </c>
      <c r="G113" s="11" t="n">
        <f aca="false">IF(TradeMap_Datos!G114="",0,TradeMap_Datos!G114/TradeMap_Datos!G$5)</f>
        <v>0.000555130785663779</v>
      </c>
      <c r="H113" s="11" t="n">
        <f aca="false">IF(TradeMap_Datos!H114="",0,TradeMap_Datos!H114/TradeMap_Datos!H$5)</f>
        <v>9.40535325835028E-006</v>
      </c>
      <c r="I113" s="11" t="n">
        <f aca="false">IF(TradeMap_Datos!I114="",0,TradeMap_Datos!I114/TradeMap_Datos!I$5)</f>
        <v>0</v>
      </c>
      <c r="J113" s="11" t="n">
        <f aca="false">IF(TradeMap_Datos!J114="",0,TradeMap_Datos!J114/TradeMap_Datos!J$5)</f>
        <v>0</v>
      </c>
      <c r="K113" s="11" t="n">
        <f aca="false">IF(TradeMap_Datos!K114="",0,TradeMap_Datos!K114/TradeMap_Datos!K$5)</f>
        <v>0</v>
      </c>
      <c r="L113" s="11" t="n">
        <f aca="false">IF(TradeMap_Datos!L114="",0,TradeMap_Datos!L114/TradeMap_Datos!L$5)</f>
        <v>0</v>
      </c>
    </row>
    <row r="114" customFormat="false" ht="15" hidden="false" customHeight="false" outlineLevel="0" collapsed="false">
      <c r="A114" s="4" t="str">
        <f aca="false">TradeMap_Datos!A115</f>
        <v>860</v>
      </c>
      <c r="B114" s="4" t="str">
        <f aca="false">TradeMap_Datos!B115</f>
        <v>Uzbekistán</v>
      </c>
      <c r="C114" s="11" t="n">
        <f aca="false">IF(TradeMap_Datos!C115="",0,TradeMap_Datos!C115/TradeMap_Datos!C$5)</f>
        <v>0</v>
      </c>
      <c r="D114" s="11" t="n">
        <f aca="false">IF(TradeMap_Datos!D115="",0,TradeMap_Datos!D115/TradeMap_Datos!D$5)</f>
        <v>0.00201754681233083</v>
      </c>
      <c r="E114" s="11" t="n">
        <f aca="false">IF(TradeMap_Datos!E115="",0,TradeMap_Datos!E115/TradeMap_Datos!E$5)</f>
        <v>0.00245806327667621</v>
      </c>
      <c r="F114" s="11" t="n">
        <f aca="false">IF(TradeMap_Datos!F115="",0,TradeMap_Datos!F115/TradeMap_Datos!F$5)</f>
        <v>0.00772192601494362</v>
      </c>
      <c r="G114" s="11" t="n">
        <f aca="false">IF(TradeMap_Datos!G115="",0,TradeMap_Datos!G115/TradeMap_Datos!G$5)</f>
        <v>0.00464900162690062</v>
      </c>
      <c r="H114" s="11" t="n">
        <f aca="false">IF(TradeMap_Datos!H115="",0,TradeMap_Datos!H115/TradeMap_Datos!H$5)</f>
        <v>0.00335569568038997</v>
      </c>
      <c r="I114" s="11" t="n">
        <f aca="false">IF(TradeMap_Datos!I115="",0,TradeMap_Datos!I115/TradeMap_Datos!I$5)</f>
        <v>0.00560958553110286</v>
      </c>
      <c r="J114" s="11" t="n">
        <f aca="false">IF(TradeMap_Datos!J115="",0,TradeMap_Datos!J115/TradeMap_Datos!J$5)</f>
        <v>0.0037531333854149</v>
      </c>
      <c r="K114" s="11" t="n">
        <f aca="false">IF(TradeMap_Datos!K115="",0,TradeMap_Datos!K115/TradeMap_Datos!K$5)</f>
        <v>0.00127369350370211</v>
      </c>
      <c r="L114" s="11" t="n">
        <f aca="false">IF(TradeMap_Datos!L115="",0,TradeMap_Datos!L115/TradeMap_Datos!L$5)</f>
        <v>0</v>
      </c>
    </row>
    <row r="115" customFormat="false" ht="15" hidden="false" customHeight="false" outlineLevel="0" collapsed="false">
      <c r="A115" s="4" t="str">
        <f aca="false">TradeMap_Datos!A116</f>
        <v>887</v>
      </c>
      <c r="B115" s="4" t="str">
        <f aca="false">TradeMap_Datos!B116</f>
        <v>Yemen</v>
      </c>
      <c r="C115" s="11" t="n">
        <f aca="false">IF(TradeMap_Datos!C116="",0,TradeMap_Datos!C116/TradeMap_Datos!C$5)</f>
        <v>0</v>
      </c>
      <c r="D115" s="11" t="n">
        <f aca="false">IF(TradeMap_Datos!D116="",0,TradeMap_Datos!D116/TradeMap_Datos!D$5)</f>
        <v>0</v>
      </c>
      <c r="E115" s="11" t="n">
        <f aca="false">IF(TradeMap_Datos!E116="",0,TradeMap_Datos!E116/TradeMap_Datos!E$5)</f>
        <v>0</v>
      </c>
      <c r="F115" s="11" t="n">
        <f aca="false">IF(TradeMap_Datos!F116="",0,TradeMap_Datos!F116/TradeMap_Datos!F$5)</f>
        <v>0</v>
      </c>
      <c r="G115" s="11" t="n">
        <f aca="false">IF(TradeMap_Datos!G116="",0,TradeMap_Datos!G116/TradeMap_Datos!G$5)</f>
        <v>0</v>
      </c>
      <c r="H115" s="11" t="n">
        <f aca="false">IF(TradeMap_Datos!H116="",0,TradeMap_Datos!H116/TradeMap_Datos!H$5)</f>
        <v>0</v>
      </c>
      <c r="I115" s="11" t="n">
        <f aca="false">IF(TradeMap_Datos!I116="",0,TradeMap_Datos!I116/TradeMap_Datos!I$5)</f>
        <v>0</v>
      </c>
      <c r="J115" s="11" t="n">
        <f aca="false">IF(TradeMap_Datos!J116="",0,TradeMap_Datos!J116/TradeMap_Datos!J$5)</f>
        <v>0.00410149111782888</v>
      </c>
      <c r="K115" s="11" t="n">
        <f aca="false">IF(TradeMap_Datos!K116="",0,TradeMap_Datos!K116/TradeMap_Datos!K$5)</f>
        <v>0.00631263297521535</v>
      </c>
      <c r="L115" s="11" t="n">
        <f aca="false">IF(TradeMap_Datos!L116="",0,TradeMap_Datos!L116/TradeMap_Datos!L$5)</f>
        <v>0</v>
      </c>
    </row>
    <row r="116" customFormat="false" ht="15" hidden="false" customHeight="false" outlineLevel="0" collapsed="false">
      <c r="A116" s="4" t="str">
        <f aca="false">TradeMap_Datos!A117</f>
        <v>776</v>
      </c>
      <c r="B116" s="4" t="str">
        <f aca="false">TradeMap_Datos!B117</f>
        <v>Tonga</v>
      </c>
      <c r="C116" s="11" t="n">
        <f aca="false">IF(TradeMap_Datos!C117="",0,TradeMap_Datos!C117/TradeMap_Datos!C$5)</f>
        <v>0</v>
      </c>
      <c r="D116" s="11" t="n">
        <f aca="false">IF(TradeMap_Datos!D117="",0,TradeMap_Datos!D117/TradeMap_Datos!D$5)</f>
        <v>0</v>
      </c>
      <c r="E116" s="11" t="n">
        <f aca="false">IF(TradeMap_Datos!E117="",0,TradeMap_Datos!E117/TradeMap_Datos!E$5)</f>
        <v>0</v>
      </c>
      <c r="F116" s="11" t="n">
        <f aca="false">IF(TradeMap_Datos!F117="",0,TradeMap_Datos!F117/TradeMap_Datos!F$5)</f>
        <v>9.00516153346194E-007</v>
      </c>
      <c r="G116" s="11" t="n">
        <f aca="false">IF(TradeMap_Datos!G117="",0,TradeMap_Datos!G117/TradeMap_Datos!G$5)</f>
        <v>1.24973162013458E-006</v>
      </c>
      <c r="H116" s="11" t="n">
        <f aca="false">IF(TradeMap_Datos!H117="",0,TradeMap_Datos!H117/TradeMap_Datos!H$5)</f>
        <v>8.73354231132525E-006</v>
      </c>
      <c r="I116" s="11" t="n">
        <f aca="false">IF(TradeMap_Datos!I117="",0,TradeMap_Datos!I117/TradeMap_Datos!I$5)</f>
        <v>7.36128924487329E-006</v>
      </c>
      <c r="J116" s="11" t="n">
        <f aca="false">IF(TradeMap_Datos!J117="",0,TradeMap_Datos!J117/TradeMap_Datos!J$5)</f>
        <v>5.43459800957848E-006</v>
      </c>
      <c r="K116" s="11" t="n">
        <f aca="false">IF(TradeMap_Datos!K117="",0,TradeMap_Datos!K117/TradeMap_Datos!K$5)</f>
        <v>1.56234272523283E-005</v>
      </c>
      <c r="L116" s="11" t="n">
        <f aca="false">IF(TradeMap_Datos!L117="",0,TradeMap_Datos!L117/TradeMap_Datos!L$5)</f>
        <v>0</v>
      </c>
    </row>
    <row r="117" customFormat="false" ht="15" hidden="false" customHeight="false" outlineLevel="0" collapsed="false">
      <c r="A117" s="4" t="str">
        <f aca="false">TradeMap_Datos!A118</f>
        <v>784</v>
      </c>
      <c r="B117" s="4" t="str">
        <f aca="false">TradeMap_Datos!B118</f>
        <v>Emiratos Árabes Unidos</v>
      </c>
      <c r="C117" s="11" t="n">
        <f aca="false">IF(TradeMap_Datos!C118="",0,TradeMap_Datos!C118/TradeMap_Datos!C$5)</f>
        <v>0.00785312343605734</v>
      </c>
      <c r="D117" s="11" t="n">
        <f aca="false">IF(TradeMap_Datos!D118="",0,TradeMap_Datos!D118/TradeMap_Datos!D$5)</f>
        <v>0.00625042891135188</v>
      </c>
      <c r="E117" s="11" t="n">
        <f aca="false">IF(TradeMap_Datos!E118="",0,TradeMap_Datos!E118/TradeMap_Datos!E$5)</f>
        <v>0.0157241225897127</v>
      </c>
      <c r="F117" s="11" t="n">
        <f aca="false">IF(TradeMap_Datos!F118="",0,TradeMap_Datos!F118/TradeMap_Datos!F$5)</f>
        <v>0.0169308293281001</v>
      </c>
      <c r="G117" s="11" t="n">
        <f aca="false">IF(TradeMap_Datos!G118="",0,TradeMap_Datos!G118/TradeMap_Datos!G$5)</f>
        <v>0.0131671723497379</v>
      </c>
      <c r="H117" s="11" t="n">
        <f aca="false">IF(TradeMap_Datos!H118="",0,TradeMap_Datos!H118/TradeMap_Datos!H$5)</f>
        <v>0.0215664750213972</v>
      </c>
      <c r="I117" s="11" t="n">
        <f aca="false">IF(TradeMap_Datos!I118="",0,TradeMap_Datos!I118/TradeMap_Datos!I$5)</f>
        <v>0.0305796449027319</v>
      </c>
      <c r="J117" s="11" t="n">
        <f aca="false">IF(TradeMap_Datos!J118="",0,TradeMap_Datos!J118/TradeMap_Datos!J$5)</f>
        <v>0.0276229747630855</v>
      </c>
      <c r="K117" s="11" t="n">
        <f aca="false">IF(TradeMap_Datos!K118="",0,TradeMap_Datos!K118/TradeMap_Datos!K$5)</f>
        <v>0.0243551302340722</v>
      </c>
      <c r="L117" s="11" t="n">
        <f aca="false">IF(TradeMap_Datos!L118="",0,TradeMap_Datos!L118/TradeMap_Datos!L$5)</f>
        <v>0</v>
      </c>
    </row>
    <row r="118" customFormat="false" ht="15" hidden="false" customHeight="false" outlineLevel="0" collapsed="false">
      <c r="A118" s="4" t="str">
        <f aca="false">TradeMap_Datos!A119</f>
        <v>788</v>
      </c>
      <c r="B118" s="4" t="str">
        <f aca="false">TradeMap_Datos!B119</f>
        <v>Túnez</v>
      </c>
      <c r="C118" s="11" t="n">
        <f aca="false">IF(TradeMap_Datos!C119="",0,TradeMap_Datos!C119/TradeMap_Datos!C$5)</f>
        <v>0.00100514523942754</v>
      </c>
      <c r="D118" s="11" t="n">
        <f aca="false">IF(TradeMap_Datos!D119="",0,TradeMap_Datos!D119/TradeMap_Datos!D$5)</f>
        <v>0.0011329783056312</v>
      </c>
      <c r="E118" s="11" t="n">
        <f aca="false">IF(TradeMap_Datos!E119="",0,TradeMap_Datos!E119/TradeMap_Datos!E$5)</f>
        <v>0.00219769664000647</v>
      </c>
      <c r="F118" s="11" t="n">
        <f aca="false">IF(TradeMap_Datos!F119="",0,TradeMap_Datos!F119/TradeMap_Datos!F$5)</f>
        <v>0.00192417789066248</v>
      </c>
      <c r="G118" s="11" t="n">
        <f aca="false">IF(TradeMap_Datos!G119="",0,TradeMap_Datos!G119/TradeMap_Datos!G$5)</f>
        <v>0.00139420059542213</v>
      </c>
      <c r="H118" s="11" t="n">
        <f aca="false">IF(TradeMap_Datos!H119="",0,TradeMap_Datos!H119/TradeMap_Datos!H$5)</f>
        <v>0.00251570805962636</v>
      </c>
      <c r="I118" s="11" t="n">
        <f aca="false">IF(TradeMap_Datos!I119="",0,TradeMap_Datos!I119/TradeMap_Datos!I$5)</f>
        <v>0.00379021458158149</v>
      </c>
      <c r="J118" s="11" t="n">
        <f aca="false">IF(TradeMap_Datos!J119="",0,TradeMap_Datos!J119/TradeMap_Datos!J$5)</f>
        <v>0.00303957066675724</v>
      </c>
      <c r="K118" s="11" t="n">
        <f aca="false">IF(TradeMap_Datos!K119="",0,TradeMap_Datos!K119/TradeMap_Datos!K$5)</f>
        <v>0.00264471327553348</v>
      </c>
      <c r="L118" s="11" t="n">
        <f aca="false">IF(TradeMap_Datos!L119="",0,TradeMap_Datos!L119/TradeMap_Datos!L$5)</f>
        <v>0</v>
      </c>
    </row>
    <row r="119" customFormat="false" ht="15" hidden="false" customHeight="false" outlineLevel="0" collapsed="false">
      <c r="A119" s="4" t="str">
        <f aca="false">TradeMap_Datos!A120</f>
        <v>804</v>
      </c>
      <c r="B119" s="4" t="str">
        <f aca="false">TradeMap_Datos!B120</f>
        <v>Ucrania</v>
      </c>
      <c r="C119" s="11" t="n">
        <f aca="false">IF(TradeMap_Datos!C120="",0,TradeMap_Datos!C120/TradeMap_Datos!C$5)</f>
        <v>2.27334949143548E-006</v>
      </c>
      <c r="D119" s="11" t="n">
        <f aca="false">IF(TradeMap_Datos!D120="",0,TradeMap_Datos!D120/TradeMap_Datos!D$5)</f>
        <v>3.28777675056499E-005</v>
      </c>
      <c r="E119" s="11" t="n">
        <f aca="false">IF(TradeMap_Datos!E120="",0,TradeMap_Datos!E120/TradeMap_Datos!E$5)</f>
        <v>3.10923265149294E-005</v>
      </c>
      <c r="F119" s="11" t="n">
        <f aca="false">IF(TradeMap_Datos!F120="",0,TradeMap_Datos!F120/TradeMap_Datos!F$5)</f>
        <v>5.04289045873869E-005</v>
      </c>
      <c r="G119" s="11" t="n">
        <f aca="false">IF(TradeMap_Datos!G120="",0,TradeMap_Datos!G120/TradeMap_Datos!G$5)</f>
        <v>9.77290126945239E-005</v>
      </c>
      <c r="H119" s="11" t="n">
        <f aca="false">IF(TradeMap_Datos!H120="",0,TradeMap_Datos!H120/TradeMap_Datos!H$5)</f>
        <v>0.00018609163232593</v>
      </c>
      <c r="I119" s="11" t="n">
        <f aca="false">IF(TradeMap_Datos!I120="",0,TradeMap_Datos!I120/TradeMap_Datos!I$5)</f>
        <v>3.7655825752621E-005</v>
      </c>
      <c r="J119" s="11" t="n">
        <f aca="false">IF(TradeMap_Datos!J120="",0,TradeMap_Datos!J120/TradeMap_Datos!J$5)</f>
        <v>4.6465812981896E-005</v>
      </c>
      <c r="K119" s="11" t="n">
        <f aca="false">IF(TradeMap_Datos!K120="",0,TradeMap_Datos!K120/TradeMap_Datos!K$5)</f>
        <v>2.56121758234891E-005</v>
      </c>
      <c r="L119" s="11" t="n">
        <f aca="false">IF(TradeMap_Datos!L120="",0,TradeMap_Datos!L120/TradeMap_Datos!L$5)</f>
        <v>0</v>
      </c>
    </row>
    <row r="120" customFormat="false" ht="15" hidden="false" customHeight="false" outlineLevel="0" collapsed="false">
      <c r="A120" s="4" t="str">
        <f aca="false">TradeMap_Datos!A121</f>
        <v>807</v>
      </c>
      <c r="B120" s="4" t="str">
        <f aca="false">TradeMap_Datos!B121</f>
        <v>Macedonia del Norte</v>
      </c>
      <c r="C120" s="11" t="n">
        <f aca="false">IF(TradeMap_Datos!C121="",0,TradeMap_Datos!C121/TradeMap_Datos!C$5)</f>
        <v>8.4438695396175E-006</v>
      </c>
      <c r="D120" s="11" t="n">
        <f aca="false">IF(TradeMap_Datos!D121="",0,TradeMap_Datos!D121/TradeMap_Datos!D$5)</f>
        <v>1.56560797645952E-006</v>
      </c>
      <c r="E120" s="11" t="n">
        <f aca="false">IF(TradeMap_Datos!E121="",0,TradeMap_Datos!E121/TradeMap_Datos!E$5)</f>
        <v>2.527831423978E-006</v>
      </c>
      <c r="F120" s="11" t="n">
        <f aca="false">IF(TradeMap_Datos!F121="",0,TradeMap_Datos!F121/TradeMap_Datos!F$5)</f>
        <v>4.27745172839442E-006</v>
      </c>
      <c r="G120" s="11" t="n">
        <f aca="false">IF(TradeMap_Datos!G121="",0,TradeMap_Datos!G121/TradeMap_Datos!G$5)</f>
        <v>7.24844339678054E-006</v>
      </c>
      <c r="H120" s="11" t="n">
        <f aca="false">IF(TradeMap_Datos!H121="",0,TradeMap_Datos!H121/TradeMap_Datos!H$5)</f>
        <v>3.80692869980844E-006</v>
      </c>
      <c r="I120" s="11" t="n">
        <f aca="false">IF(TradeMap_Datos!I121="",0,TradeMap_Datos!I121/TradeMap_Datos!I$5)</f>
        <v>1.98188556592742E-006</v>
      </c>
      <c r="J120" s="11" t="n">
        <f aca="false">IF(TradeMap_Datos!J121="",0,TradeMap_Datos!J121/TradeMap_Datos!J$5)</f>
        <v>1.4129954824904E-005</v>
      </c>
      <c r="K120" s="11" t="n">
        <f aca="false">IF(TradeMap_Datos!K121="",0,TradeMap_Datos!K121/TradeMap_Datos!K$5)</f>
        <v>2.79172716476031E-005</v>
      </c>
      <c r="L120" s="11" t="n">
        <f aca="false">IF(TradeMap_Datos!L121="",0,TradeMap_Datos!L121/TradeMap_Datos!L$5)</f>
        <v>0</v>
      </c>
    </row>
    <row r="121" customFormat="false" ht="15" hidden="false" customHeight="false" outlineLevel="0" collapsed="false">
      <c r="A121" s="4" t="str">
        <f aca="false">TradeMap_Datos!A122</f>
        <v>566</v>
      </c>
      <c r="B121" s="4" t="str">
        <f aca="false">TradeMap_Datos!B122</f>
        <v>Nigeria</v>
      </c>
      <c r="C121" s="11" t="n">
        <f aca="false">IF(TradeMap_Datos!C122="",0,TradeMap_Datos!C122/TradeMap_Datos!C$5)</f>
        <v>0</v>
      </c>
      <c r="D121" s="11" t="n">
        <f aca="false">IF(TradeMap_Datos!D122="",0,TradeMap_Datos!D122/TradeMap_Datos!D$5)</f>
        <v>0</v>
      </c>
      <c r="E121" s="11" t="n">
        <f aca="false">IF(TradeMap_Datos!E122="",0,TradeMap_Datos!E122/TradeMap_Datos!E$5)</f>
        <v>0.000543989322440065</v>
      </c>
      <c r="F121" s="11" t="n">
        <f aca="false">IF(TradeMap_Datos!F122="",0,TradeMap_Datos!F122/TradeMap_Datos!F$5)</f>
        <v>0</v>
      </c>
      <c r="G121" s="11" t="n">
        <f aca="false">IF(TradeMap_Datos!G122="",0,TradeMap_Datos!G122/TradeMap_Datos!G$5)</f>
        <v>0</v>
      </c>
      <c r="H121" s="11" t="n">
        <f aca="false">IF(TradeMap_Datos!H122="",0,TradeMap_Datos!H122/TradeMap_Datos!H$5)</f>
        <v>0</v>
      </c>
      <c r="I121" s="11" t="n">
        <f aca="false">IF(TradeMap_Datos!I122="",0,TradeMap_Datos!I122/TradeMap_Datos!I$5)</f>
        <v>0</v>
      </c>
      <c r="J121" s="11" t="n">
        <f aca="false">IF(TradeMap_Datos!J122="",0,TradeMap_Datos!J122/TradeMap_Datos!J$5)</f>
        <v>7.33670731293095E-006</v>
      </c>
      <c r="K121" s="11" t="n">
        <f aca="false">IF(TradeMap_Datos!K122="",0,TradeMap_Datos!K122/TradeMap_Datos!K$5)</f>
        <v>2.8173393405838E-006</v>
      </c>
      <c r="L121" s="11" t="n">
        <f aca="false">IF(TradeMap_Datos!L122="",0,TradeMap_Datos!L122/TradeMap_Datos!L$5)</f>
        <v>0</v>
      </c>
    </row>
    <row r="122" customFormat="false" ht="15" hidden="false" customHeight="false" outlineLevel="0" collapsed="false">
      <c r="A122" s="4" t="str">
        <f aca="false">TradeMap_Datos!A123</f>
        <v>524</v>
      </c>
      <c r="B122" s="4" t="str">
        <f aca="false">TradeMap_Datos!B123</f>
        <v>Nepal</v>
      </c>
      <c r="C122" s="11" t="n">
        <f aca="false">IF(TradeMap_Datos!C123="",0,TradeMap_Datos!C123/TradeMap_Datos!C$5)</f>
        <v>1.94858527837327E-006</v>
      </c>
      <c r="D122" s="11" t="n">
        <f aca="false">IF(TradeMap_Datos!D123="",0,TradeMap_Datos!D123/TradeMap_Datos!D$5)</f>
        <v>0</v>
      </c>
      <c r="E122" s="11" t="n">
        <f aca="false">IF(TradeMap_Datos!E123="",0,TradeMap_Datos!E123/TradeMap_Datos!E$5)</f>
        <v>0</v>
      </c>
      <c r="F122" s="11" t="n">
        <f aca="false">IF(TradeMap_Datos!F123="",0,TradeMap_Datos!F123/TradeMap_Datos!F$5)</f>
        <v>4.50258076673097E-007</v>
      </c>
      <c r="G122" s="11" t="n">
        <f aca="false">IF(TradeMap_Datos!G123="",0,TradeMap_Datos!G123/TradeMap_Datos!G$5)</f>
        <v>0</v>
      </c>
      <c r="H122" s="11" t="n">
        <f aca="false">IF(TradeMap_Datos!H123="",0,TradeMap_Datos!H123/TradeMap_Datos!H$5)</f>
        <v>1.56755887639171E-006</v>
      </c>
      <c r="I122" s="11" t="n">
        <f aca="false">IF(TradeMap_Datos!I123="",0,TradeMap_Datos!I123/TradeMap_Datos!I$5)</f>
        <v>7.64441575429149E-006</v>
      </c>
      <c r="J122" s="11" t="n">
        <f aca="false">IF(TradeMap_Datos!J123="",0,TradeMap_Datos!J123/TradeMap_Datos!J$5)</f>
        <v>0</v>
      </c>
      <c r="K122" s="11" t="n">
        <f aca="false">IF(TradeMap_Datos!K123="",0,TradeMap_Datos!K123/TradeMap_Datos!K$5)</f>
        <v>0</v>
      </c>
      <c r="L122" s="11" t="n">
        <f aca="false">IF(TradeMap_Datos!L123="",0,TradeMap_Datos!L123/TradeMap_Datos!L$5)</f>
        <v>0</v>
      </c>
    </row>
    <row r="123" customFormat="false" ht="15" hidden="false" customHeight="false" outlineLevel="0" collapsed="false">
      <c r="A123" s="4" t="str">
        <f aca="false">TradeMap_Datos!A124</f>
        <v>499</v>
      </c>
      <c r="B123" s="4" t="str">
        <f aca="false">TradeMap_Datos!B124</f>
        <v>Montenegro</v>
      </c>
      <c r="C123" s="11" t="n">
        <f aca="false">IF(TradeMap_Datos!C124="",0,TradeMap_Datos!C124/TradeMap_Datos!C$5)</f>
        <v>7.79434111349308E-006</v>
      </c>
      <c r="D123" s="11" t="n">
        <f aca="false">IF(TradeMap_Datos!D124="",0,TradeMap_Datos!D124/TradeMap_Datos!D$5)</f>
        <v>4.17495460389205E-006</v>
      </c>
      <c r="E123" s="11" t="n">
        <f aca="false">IF(TradeMap_Datos!E124="",0,TradeMap_Datos!E124/TradeMap_Datos!E$5)</f>
        <v>2.7806145663758E-006</v>
      </c>
      <c r="F123" s="11" t="n">
        <f aca="false">IF(TradeMap_Datos!F124="",0,TradeMap_Datos!F124/TradeMap_Datos!F$5)</f>
        <v>7.20412922676955E-006</v>
      </c>
      <c r="G123" s="11" t="n">
        <f aca="false">IF(TradeMap_Datos!G124="",0,TradeMap_Datos!G124/TradeMap_Datos!G$5)</f>
        <v>7.74833604483437E-006</v>
      </c>
      <c r="H123" s="11" t="n">
        <f aca="false">IF(TradeMap_Datos!H124="",0,TradeMap_Datos!H124/TradeMap_Datos!H$5)</f>
        <v>6.27023550556685E-006</v>
      </c>
      <c r="I123" s="11" t="n">
        <f aca="false">IF(TradeMap_Datos!I124="",0,TradeMap_Datos!I124/TradeMap_Datos!I$5)</f>
        <v>1.13250603767281E-005</v>
      </c>
      <c r="J123" s="11" t="n">
        <f aca="false">IF(TradeMap_Datos!J124="",0,TradeMap_Datos!J124/TradeMap_Datos!J$5)</f>
        <v>1.19561156210727E-005</v>
      </c>
      <c r="K123" s="11" t="n">
        <f aca="false">IF(TradeMap_Datos!K124="",0,TradeMap_Datos!K124/TradeMap_Datos!K$5)</f>
        <v>7.93977450528162E-006</v>
      </c>
      <c r="L123" s="11" t="n">
        <f aca="false">IF(TradeMap_Datos!L124="",0,TradeMap_Datos!L124/TradeMap_Datos!L$5)</f>
        <v>0</v>
      </c>
    </row>
    <row r="124" customFormat="false" ht="15" hidden="false" customHeight="false" outlineLevel="0" collapsed="false">
      <c r="A124" s="4" t="str">
        <f aca="false">TradeMap_Datos!A125</f>
        <v>466</v>
      </c>
      <c r="B124" s="4" t="str">
        <f aca="false">TradeMap_Datos!B125</f>
        <v>Malí</v>
      </c>
      <c r="C124" s="11" t="n">
        <f aca="false">IF(TradeMap_Datos!C125="",0,TradeMap_Datos!C125/TradeMap_Datos!C$5)</f>
        <v>0</v>
      </c>
      <c r="D124" s="11" t="n">
        <f aca="false">IF(TradeMap_Datos!D125="",0,TradeMap_Datos!D125/TradeMap_Datos!D$5)</f>
        <v>0</v>
      </c>
      <c r="E124" s="11" t="n">
        <f aca="false">IF(TradeMap_Datos!E125="",0,TradeMap_Datos!E125/TradeMap_Datos!E$5)</f>
        <v>0</v>
      </c>
      <c r="F124" s="11" t="n">
        <f aca="false">IF(TradeMap_Datos!F125="",0,TradeMap_Datos!F125/TradeMap_Datos!F$5)</f>
        <v>6.75387115009646E-007</v>
      </c>
      <c r="G124" s="11" t="n">
        <f aca="false">IF(TradeMap_Datos!G125="",0,TradeMap_Datos!G125/TradeMap_Datos!G$5)</f>
        <v>0</v>
      </c>
      <c r="H124" s="11" t="n">
        <f aca="false">IF(TradeMap_Datos!H125="",0,TradeMap_Datos!H125/TradeMap_Datos!H$5)</f>
        <v>9.62929024069195E-006</v>
      </c>
      <c r="I124" s="11" t="n">
        <f aca="false">IF(TradeMap_Datos!I125="",0,TradeMap_Datos!I125/TradeMap_Datos!I$5)</f>
        <v>0</v>
      </c>
      <c r="J124" s="11" t="n">
        <f aca="false">IF(TradeMap_Datos!J125="",0,TradeMap_Datos!J125/TradeMap_Datos!J$5)</f>
        <v>1.90210930335247E-006</v>
      </c>
      <c r="K124" s="11" t="n">
        <f aca="false">IF(TradeMap_Datos!K125="",0,TradeMap_Datos!K125/TradeMap_Datos!K$5)</f>
        <v>4.35406988999314E-006</v>
      </c>
      <c r="L124" s="11" t="n">
        <f aca="false">IF(TradeMap_Datos!L125="",0,TradeMap_Datos!L125/TradeMap_Datos!L$5)</f>
        <v>0</v>
      </c>
    </row>
    <row r="125" customFormat="false" ht="15" hidden="false" customHeight="false" outlineLevel="0" collapsed="false">
      <c r="A125" s="4" t="str">
        <f aca="false">TradeMap_Datos!A126</f>
        <v>418</v>
      </c>
      <c r="B125" s="4" t="str">
        <f aca="false">TradeMap_Datos!B126</f>
        <v>Lao, República Democrática Popular</v>
      </c>
      <c r="C125" s="11" t="n">
        <f aca="false">IF(TradeMap_Datos!C126="",0,TradeMap_Datos!C126/TradeMap_Datos!C$5)</f>
        <v>0.00236753111322352</v>
      </c>
      <c r="D125" s="11" t="n">
        <f aca="false">IF(TradeMap_Datos!D126="",0,TradeMap_Datos!D126/TradeMap_Datos!D$5)</f>
        <v>0.0063850711973274</v>
      </c>
      <c r="E125" s="11" t="n">
        <f aca="false">IF(TradeMap_Datos!E126="",0,TradeMap_Datos!E126/TradeMap_Datos!E$5)</f>
        <v>0.00472704476283886</v>
      </c>
      <c r="F125" s="11" t="n">
        <f aca="false">IF(TradeMap_Datos!F126="",0,TradeMap_Datos!F126/TradeMap_Datos!F$5)</f>
        <v>0.0080008608934426</v>
      </c>
      <c r="G125" s="11" t="n">
        <f aca="false">IF(TradeMap_Datos!G126="",0,TradeMap_Datos!G126/TradeMap_Datos!G$5)</f>
        <v>0.0100790855163854</v>
      </c>
      <c r="H125" s="11" t="n">
        <f aca="false">IF(TradeMap_Datos!H126="",0,TradeMap_Datos!H126/TradeMap_Datos!H$5)</f>
        <v>0.00525087436194755</v>
      </c>
      <c r="I125" s="11" t="n">
        <f aca="false">IF(TradeMap_Datos!I126="",0,TradeMap_Datos!I126/TradeMap_Datos!I$5)</f>
        <v>0.00632391371436499</v>
      </c>
      <c r="J125" s="11" t="n">
        <f aca="false">IF(TradeMap_Datos!J126="",0,TradeMap_Datos!J126/TradeMap_Datos!J$5)</f>
        <v>0.00468380829455521</v>
      </c>
      <c r="K125" s="11" t="n">
        <f aca="false">IF(TradeMap_Datos!K126="",0,TradeMap_Datos!K126/TradeMap_Datos!K$5)</f>
        <v>0</v>
      </c>
      <c r="L125" s="11" t="n">
        <f aca="false">IF(TradeMap_Datos!L126="",0,TradeMap_Datos!L126/TradeMap_Datos!L$5)</f>
        <v>0</v>
      </c>
    </row>
    <row r="126" customFormat="false" ht="15" hidden="false" customHeight="false" outlineLevel="0" collapsed="false">
      <c r="A126" s="4" t="str">
        <f aca="false">TradeMap_Datos!A127</f>
        <v>422</v>
      </c>
      <c r="B126" s="4" t="str">
        <f aca="false">TradeMap_Datos!B127</f>
        <v>Líbano</v>
      </c>
      <c r="C126" s="11" t="n">
        <f aca="false">IF(TradeMap_Datos!C127="",0,TradeMap_Datos!C127/TradeMap_Datos!C$5)</f>
        <v>0.000786254159823614</v>
      </c>
      <c r="D126" s="11" t="n">
        <f aca="false">IF(TradeMap_Datos!D127="",0,TradeMap_Datos!D127/TradeMap_Datos!D$5)</f>
        <v>0.000696956484187229</v>
      </c>
      <c r="E126" s="11" t="n">
        <f aca="false">IF(TradeMap_Datos!E127="",0,TradeMap_Datos!E127/TradeMap_Datos!E$5)</f>
        <v>0.000725993184966481</v>
      </c>
      <c r="F126" s="11" t="n">
        <f aca="false">IF(TradeMap_Datos!F127="",0,TradeMap_Datos!F127/TradeMap_Datos!F$5)</f>
        <v>0.000561471821611352</v>
      </c>
      <c r="G126" s="11" t="n">
        <f aca="false">IF(TradeMap_Datos!G127="",0,TradeMap_Datos!G127/TradeMap_Datos!G$5)</f>
        <v>0.000959793884263354</v>
      </c>
      <c r="H126" s="11" t="n">
        <f aca="false">IF(TradeMap_Datos!H127="",0,TradeMap_Datos!H127/TradeMap_Datos!H$5)</f>
        <v>0.00206089204849042</v>
      </c>
      <c r="I126" s="11" t="n">
        <f aca="false">IF(TradeMap_Datos!I127="",0,TradeMap_Datos!I127/TradeMap_Datos!I$5)</f>
        <v>0.00332050770245669</v>
      </c>
      <c r="J126" s="11" t="n">
        <f aca="false">IF(TradeMap_Datos!J127="",0,TradeMap_Datos!J127/TradeMap_Datos!J$5)</f>
        <v>0.00124968581230257</v>
      </c>
      <c r="K126" s="11" t="n">
        <f aca="false">IF(TradeMap_Datos!K127="",0,TradeMap_Datos!K127/TradeMap_Datos!K$5)</f>
        <v>0.000956614767007317</v>
      </c>
      <c r="L126" s="11" t="n">
        <f aca="false">IF(TradeMap_Datos!L127="",0,TradeMap_Datos!L127/TradeMap_Datos!L$5)</f>
        <v>0</v>
      </c>
    </row>
    <row r="127" customFormat="false" ht="15" hidden="false" customHeight="false" outlineLevel="0" collapsed="false">
      <c r="A127" s="4" t="str">
        <f aca="false">TradeMap_Datos!A128</f>
        <v>426</v>
      </c>
      <c r="B127" s="4" t="str">
        <f aca="false">TradeMap_Datos!B128</f>
        <v>Lesoto</v>
      </c>
      <c r="C127" s="11" t="n">
        <f aca="false">IF(TradeMap_Datos!C128="",0,TradeMap_Datos!C128/TradeMap_Datos!C$5)</f>
        <v>1.94858527837327E-006</v>
      </c>
      <c r="D127" s="11" t="n">
        <f aca="false">IF(TradeMap_Datos!D128="",0,TradeMap_Datos!D128/TradeMap_Datos!D$5)</f>
        <v>3.39215061566229E-006</v>
      </c>
      <c r="E127" s="11" t="n">
        <f aca="false">IF(TradeMap_Datos!E128="",0,TradeMap_Datos!E128/TradeMap_Datos!E$5)</f>
        <v>5.055662847956E-007</v>
      </c>
      <c r="F127" s="11" t="n">
        <f aca="false">IF(TradeMap_Datos!F128="",0,TradeMap_Datos!F128/TradeMap_Datos!F$5)</f>
        <v>4.50258076673097E-006</v>
      </c>
      <c r="G127" s="11" t="n">
        <f aca="false">IF(TradeMap_Datos!G128="",0,TradeMap_Datos!G128/TradeMap_Datos!G$5)</f>
        <v>2.74940956429607E-006</v>
      </c>
      <c r="H127" s="11" t="n">
        <f aca="false">IF(TradeMap_Datos!H128="",0,TradeMap_Datos!H128/TradeMap_Datos!H$5)</f>
        <v>0.000192585804813839</v>
      </c>
      <c r="I127" s="11" t="n">
        <f aca="false">IF(TradeMap_Datos!I128="",0,TradeMap_Datos!I128/TradeMap_Datos!I$5)</f>
        <v>0.000591168151665209</v>
      </c>
      <c r="J127" s="11" t="n">
        <f aca="false">IF(TradeMap_Datos!J128="",0,TradeMap_Datos!J128/TradeMap_Datos!J$5)</f>
        <v>0.000624978771101525</v>
      </c>
      <c r="K127" s="11" t="n">
        <f aca="false">IF(TradeMap_Datos!K128="",0,TradeMap_Datos!K128/TradeMap_Datos!K$5)</f>
        <v>0.000553479119545599</v>
      </c>
      <c r="L127" s="11" t="n">
        <f aca="false">IF(TradeMap_Datos!L128="",0,TradeMap_Datos!L128/TradeMap_Datos!L$5)</f>
        <v>0</v>
      </c>
    </row>
    <row r="128" customFormat="false" ht="15" hidden="false" customHeight="false" outlineLevel="0" collapsed="false">
      <c r="A128" s="4" t="str">
        <f aca="false">TradeMap_Datos!A129</f>
        <v>414</v>
      </c>
      <c r="B128" s="4" t="str">
        <f aca="false">TradeMap_Datos!B129</f>
        <v>Kuwait</v>
      </c>
      <c r="C128" s="11" t="n">
        <f aca="false">IF(TradeMap_Datos!C129="",0,TradeMap_Datos!C129/TradeMap_Datos!C$5)</f>
        <v>0.00193494518142466</v>
      </c>
      <c r="D128" s="11" t="n">
        <f aca="false">IF(TradeMap_Datos!D129="",0,TradeMap_Datos!D129/TradeMap_Datos!D$5)</f>
        <v>0.00668827727543506</v>
      </c>
      <c r="E128" s="11" t="n">
        <f aca="false">IF(TradeMap_Datos!E129="",0,TradeMap_Datos!E129/TradeMap_Datos!E$5)</f>
        <v>0.00610951576861242</v>
      </c>
      <c r="F128" s="11" t="n">
        <f aca="false">IF(TradeMap_Datos!F129="",0,TradeMap_Datos!F129/TradeMap_Datos!F$5)</f>
        <v>0.00336883092966811</v>
      </c>
      <c r="G128" s="11" t="n">
        <f aca="false">IF(TradeMap_Datos!G129="",0,TradeMap_Datos!G129/TradeMap_Datos!G$5)</f>
        <v>0.000490894580388862</v>
      </c>
      <c r="H128" s="11" t="n">
        <f aca="false">IF(TradeMap_Datos!H129="",0,TradeMap_Datos!H129/TradeMap_Datos!H$5)</f>
        <v>0.000483256007893331</v>
      </c>
      <c r="I128" s="11" t="n">
        <f aca="false">IF(TradeMap_Datos!I129="",0,TradeMap_Datos!I129/TradeMap_Datos!I$5)</f>
        <v>0.000244904430646746</v>
      </c>
      <c r="J128" s="11" t="n">
        <f aca="false">IF(TradeMap_Datos!J129="",0,TradeMap_Datos!J129/TradeMap_Datos!J$5)</f>
        <v>0.00013640841004042</v>
      </c>
      <c r="K128" s="11" t="n">
        <f aca="false">IF(TradeMap_Datos!K129="",0,TradeMap_Datos!K129/TradeMap_Datos!K$5)</f>
        <v>4.81508905481595E-005</v>
      </c>
      <c r="L128" s="11" t="n">
        <f aca="false">IF(TradeMap_Datos!L129="",0,TradeMap_Datos!L129/TradeMap_Datos!L$5)</f>
        <v>0</v>
      </c>
    </row>
    <row r="129" customFormat="false" ht="15" hidden="false" customHeight="false" outlineLevel="0" collapsed="false">
      <c r="A129" s="4" t="str">
        <f aca="false">TradeMap_Datos!A130</f>
        <v>400</v>
      </c>
      <c r="B129" s="4" t="str">
        <f aca="false">TradeMap_Datos!B130</f>
        <v>Jordania</v>
      </c>
      <c r="C129" s="11" t="n">
        <f aca="false">IF(TradeMap_Datos!C130="",0,TradeMap_Datos!C130/TradeMap_Datos!C$5)</f>
        <v>0.000196157584689576</v>
      </c>
      <c r="D129" s="11" t="n">
        <f aca="false">IF(TradeMap_Datos!D130="",0,TradeMap_Datos!D130/TradeMap_Datos!D$5)</f>
        <v>5.76665604662589E-005</v>
      </c>
      <c r="E129" s="11" t="n">
        <f aca="false">IF(TradeMap_Datos!E130="",0,TradeMap_Datos!E130/TradeMap_Datos!E$5)</f>
        <v>7.55821595769421E-005</v>
      </c>
      <c r="F129" s="11" t="n">
        <f aca="false">IF(TradeMap_Datos!F130="",0,TradeMap_Datos!F130/TradeMap_Datos!F$5)</f>
        <v>0.000590738596595103</v>
      </c>
      <c r="G129" s="11" t="n">
        <f aca="false">IF(TradeMap_Datos!G130="",0,TradeMap_Datos!G130/TradeMap_Datos!G$5)</f>
        <v>0.00018071119227146</v>
      </c>
      <c r="H129" s="11" t="n">
        <f aca="false">IF(TradeMap_Datos!H130="",0,TradeMap_Datos!H130/TradeMap_Datos!H$5)</f>
        <v>0.000473402780670297</v>
      </c>
      <c r="I129" s="11" t="n">
        <f aca="false">IF(TradeMap_Datos!I130="",0,TradeMap_Datos!I130/TradeMap_Datos!I$5)</f>
        <v>0.000629673356946084</v>
      </c>
      <c r="J129" s="11" t="n">
        <f aca="false">IF(TradeMap_Datos!J130="",0,TradeMap_Datos!J130/TradeMap_Datos!J$5)</f>
        <v>0.00121925206344893</v>
      </c>
      <c r="K129" s="11" t="n">
        <f aca="false">IF(TradeMap_Datos!K130="",0,TradeMap_Datos!K130/TradeMap_Datos!K$5)</f>
        <v>0.00173087084215139</v>
      </c>
      <c r="L129" s="11" t="n">
        <f aca="false">IF(TradeMap_Datos!L130="",0,TradeMap_Datos!L130/TradeMap_Datos!L$5)</f>
        <v>0</v>
      </c>
    </row>
    <row r="130" customFormat="false" ht="15" hidden="false" customHeight="false" outlineLevel="0" collapsed="false">
      <c r="A130" s="4" t="str">
        <f aca="false">TradeMap_Datos!A131</f>
        <v>748</v>
      </c>
      <c r="B130" s="4" t="str">
        <f aca="false">TradeMap_Datos!B131</f>
        <v>Eswatini</v>
      </c>
      <c r="C130" s="11" t="n">
        <f aca="false">IF(TradeMap_Datos!C131="",0,TradeMap_Datos!C131/TradeMap_Datos!C$5)</f>
        <v>0</v>
      </c>
      <c r="D130" s="11" t="n">
        <f aca="false">IF(TradeMap_Datos!D131="",0,TradeMap_Datos!D131/TradeMap_Datos!D$5)</f>
        <v>2.60934662743253E-007</v>
      </c>
      <c r="E130" s="11" t="n">
        <f aca="false">IF(TradeMap_Datos!E131="",0,TradeMap_Datos!E131/TradeMap_Datos!E$5)</f>
        <v>0</v>
      </c>
      <c r="F130" s="11" t="n">
        <f aca="false">IF(TradeMap_Datos!F131="",0,TradeMap_Datos!F131/TradeMap_Datos!F$5)</f>
        <v>0</v>
      </c>
      <c r="G130" s="11" t="n">
        <f aca="false">IF(TradeMap_Datos!G131="",0,TradeMap_Datos!G131/TradeMap_Datos!G$5)</f>
        <v>2.49946324026915E-007</v>
      </c>
      <c r="H130" s="11" t="n">
        <f aca="false">IF(TradeMap_Datos!H131="",0,TradeMap_Datos!H131/TradeMap_Datos!H$5)</f>
        <v>0</v>
      </c>
      <c r="I130" s="11" t="n">
        <f aca="false">IF(TradeMap_Datos!I131="",0,TradeMap_Datos!I131/TradeMap_Datos!I$5)</f>
        <v>0</v>
      </c>
      <c r="J130" s="11" t="n">
        <f aca="false">IF(TradeMap_Datos!J131="",0,TradeMap_Datos!J131/TradeMap_Datos!J$5)</f>
        <v>0</v>
      </c>
      <c r="K130" s="11" t="n">
        <f aca="false">IF(TradeMap_Datos!K131="",0,TradeMap_Datos!K131/TradeMap_Datos!K$5)</f>
        <v>0</v>
      </c>
      <c r="L130" s="11" t="n">
        <f aca="false">IF(TradeMap_Datos!L131="",0,TradeMap_Datos!L131/TradeMap_Datos!L$5)</f>
        <v>0</v>
      </c>
    </row>
    <row r="131" customFormat="false" ht="15" hidden="false" customHeight="false" outlineLevel="0" collapsed="false">
      <c r="A131" s="4" t="str">
        <f aca="false">TradeMap_Datos!A132</f>
        <v>762</v>
      </c>
      <c r="B131" s="4" t="str">
        <f aca="false">TradeMap_Datos!B132</f>
        <v>Tayikistán</v>
      </c>
      <c r="C131" s="11" t="n">
        <f aca="false">IF(TradeMap_Datos!C132="",0,TradeMap_Datos!C132/TradeMap_Datos!C$5)</f>
        <v>0.000100027377623161</v>
      </c>
      <c r="D131" s="11" t="n">
        <f aca="false">IF(TradeMap_Datos!D132="",0,TradeMap_Datos!D132/TradeMap_Datos!D$5)</f>
        <v>2.87028129017578E-006</v>
      </c>
      <c r="E131" s="11" t="n">
        <f aca="false">IF(TradeMap_Datos!E132="",0,TradeMap_Datos!E132/TradeMap_Datos!E$5)</f>
        <v>7.58349427193399E-007</v>
      </c>
      <c r="F131" s="11" t="n">
        <f aca="false">IF(TradeMap_Datos!F132="",0,TradeMap_Datos!F132/TradeMap_Datos!F$5)</f>
        <v>1.80103230669239E-006</v>
      </c>
      <c r="G131" s="11" t="n">
        <f aca="false">IF(TradeMap_Datos!G132="",0,TradeMap_Datos!G132/TradeMap_Datos!G$5)</f>
        <v>0</v>
      </c>
      <c r="H131" s="11" t="n">
        <f aca="false">IF(TradeMap_Datos!H132="",0,TradeMap_Datos!H132/TradeMap_Datos!H$5)</f>
        <v>1.79149585873339E-006</v>
      </c>
      <c r="I131" s="11" t="n">
        <f aca="false">IF(TradeMap_Datos!I132="",0,TradeMap_Datos!I132/TradeMap_Datos!I$5)</f>
        <v>3.96377113185485E-006</v>
      </c>
      <c r="J131" s="11" t="n">
        <f aca="false">IF(TradeMap_Datos!J132="",0,TradeMap_Datos!J132/TradeMap_Datos!J$5)</f>
        <v>1.35864950239462E-006</v>
      </c>
      <c r="K131" s="11" t="n">
        <f aca="false">IF(TradeMap_Datos!K132="",0,TradeMap_Datos!K132/TradeMap_Datos!K$5)</f>
        <v>2.56121758234891E-007</v>
      </c>
      <c r="L131" s="11" t="n">
        <f aca="false">IF(TradeMap_Datos!L132="",0,TradeMap_Datos!L132/TradeMap_Datos!L$5)</f>
        <v>0</v>
      </c>
    </row>
    <row r="132" customFormat="false" ht="15" hidden="false" customHeight="false" outlineLevel="0" collapsed="false">
      <c r="A132" s="4" t="str">
        <f aca="false">TradeMap_Datos!A133</f>
        <v>729</v>
      </c>
      <c r="B132" s="4" t="str">
        <f aca="false">TradeMap_Datos!B133</f>
        <v>Sudán</v>
      </c>
      <c r="C132" s="11" t="n">
        <f aca="false">IF(TradeMap_Datos!C133="",0,TradeMap_Datos!C133/TradeMap_Datos!C$5)</f>
        <v>0</v>
      </c>
      <c r="D132" s="11" t="n">
        <f aca="false">IF(TradeMap_Datos!D133="",0,TradeMap_Datos!D133/TradeMap_Datos!D$5)</f>
        <v>0</v>
      </c>
      <c r="E132" s="11" t="n">
        <f aca="false">IF(TradeMap_Datos!E133="",0,TradeMap_Datos!E133/TradeMap_Datos!E$5)</f>
        <v>2.527831423978E-007</v>
      </c>
      <c r="F132" s="11" t="n">
        <f aca="false">IF(TradeMap_Datos!F133="",0,TradeMap_Datos!F133/TradeMap_Datos!F$5)</f>
        <v>0</v>
      </c>
      <c r="G132" s="11" t="n">
        <f aca="false">IF(TradeMap_Datos!G133="",0,TradeMap_Datos!G133/TradeMap_Datos!G$5)</f>
        <v>0</v>
      </c>
      <c r="H132" s="11" t="n">
        <f aca="false">IF(TradeMap_Datos!H133="",0,TradeMap_Datos!H133/TradeMap_Datos!H$5)</f>
        <v>0</v>
      </c>
      <c r="I132" s="11" t="n">
        <f aca="false">IF(TradeMap_Datos!I133="",0,TradeMap_Datos!I133/TradeMap_Datos!I$5)</f>
        <v>0</v>
      </c>
      <c r="J132" s="11" t="n">
        <f aca="false">IF(TradeMap_Datos!J133="",0,TradeMap_Datos!J133/TradeMap_Datos!J$5)</f>
        <v>0</v>
      </c>
      <c r="K132" s="11" t="n">
        <f aca="false">IF(TradeMap_Datos!K133="",0,TradeMap_Datos!K133/TradeMap_Datos!K$5)</f>
        <v>0</v>
      </c>
      <c r="L132" s="11" t="n">
        <f aca="false">IF(TradeMap_Datos!L133="",0,TradeMap_Datos!L133/TradeMap_Datos!L$5)</f>
        <v>0</v>
      </c>
    </row>
    <row r="133" customFormat="false" ht="15" hidden="false" customHeight="false" outlineLevel="0" collapsed="false">
      <c r="A133" s="4" t="str">
        <f aca="false">TradeMap_Datos!A134</f>
        <v>643</v>
      </c>
      <c r="B133" s="4" t="str">
        <f aca="false">TradeMap_Datos!B134</f>
        <v>Rusia, Federación de</v>
      </c>
      <c r="C133" s="11" t="n">
        <f aca="false">IF(TradeMap_Datos!C134="",0,TradeMap_Datos!C134/TradeMap_Datos!C$5)</f>
        <v>0.000161083049678857</v>
      </c>
      <c r="D133" s="11" t="n">
        <f aca="false">IF(TradeMap_Datos!D134="",0,TradeMap_Datos!D134/TradeMap_Datos!D$5)</f>
        <v>0.000130206396708883</v>
      </c>
      <c r="E133" s="11" t="n">
        <f aca="false">IF(TradeMap_Datos!E134="",0,TradeMap_Datos!E134/TradeMap_Datos!E$5)</f>
        <v>0.000231043792151589</v>
      </c>
      <c r="F133" s="11" t="n">
        <f aca="false">IF(TradeMap_Datos!F134="",0,TradeMap_Datos!F134/TradeMap_Datos!F$5)</f>
        <v>0.000129674326081852</v>
      </c>
      <c r="G133" s="11" t="n">
        <f aca="false">IF(TradeMap_Datos!G134="",0,TradeMap_Datos!G134/TradeMap_Datos!G$5)</f>
        <v>0.00042865794570616</v>
      </c>
      <c r="H133" s="11" t="n">
        <f aca="false">IF(TradeMap_Datos!H134="",0,TradeMap_Datos!H134/TradeMap_Datos!H$5)</f>
        <v>0.000173775098297138</v>
      </c>
      <c r="I133" s="11" t="n">
        <f aca="false">IF(TradeMap_Datos!I134="",0,TradeMap_Datos!I134/TradeMap_Datos!I$5)</f>
        <v>0</v>
      </c>
      <c r="J133" s="11" t="n">
        <f aca="false">IF(TradeMap_Datos!J134="",0,TradeMap_Datos!J134/TradeMap_Datos!J$5)</f>
        <v>0</v>
      </c>
      <c r="K133" s="11" t="n">
        <f aca="false">IF(TradeMap_Datos!K134="",0,TradeMap_Datos!K134/TradeMap_Datos!K$5)</f>
        <v>0</v>
      </c>
      <c r="L133" s="11" t="n">
        <f aca="false">IF(TradeMap_Datos!L134="",0,TradeMap_Datos!L134/TradeMap_Datos!L$5)</f>
        <v>0</v>
      </c>
    </row>
    <row r="134" customFormat="false" ht="15" hidden="false" customHeight="false" outlineLevel="0" collapsed="false">
      <c r="A134" s="4" t="str">
        <f aca="false">TradeMap_Datos!A135</f>
        <v>704</v>
      </c>
      <c r="B134" s="4" t="str">
        <f aca="false">TradeMap_Datos!B135</f>
        <v>Viet Nam</v>
      </c>
      <c r="C134" s="11" t="n">
        <f aca="false">IF(TradeMap_Datos!C135="",0,TradeMap_Datos!C135/TradeMap_Datos!C$5)</f>
        <v>0.371770585260836</v>
      </c>
      <c r="D134" s="11" t="n">
        <f aca="false">IF(TradeMap_Datos!D135="",0,TradeMap_Datos!D135/TradeMap_Datos!D$5)</f>
        <v>0.386002212204071</v>
      </c>
      <c r="E134" s="11" t="n">
        <f aca="false">IF(TradeMap_Datos!E135="",0,TradeMap_Datos!E135/TradeMap_Datos!E$5)</f>
        <v>0.39517158919706</v>
      </c>
      <c r="F134" s="11" t="n">
        <f aca="false">IF(TradeMap_Datos!F135="",0,TradeMap_Datos!F135/TradeMap_Datos!F$5)</f>
        <v>0.348813581224418</v>
      </c>
      <c r="G134" s="11" t="n">
        <f aca="false">IF(TradeMap_Datos!G135="",0,TradeMap_Datos!G135/TradeMap_Datos!G$5)</f>
        <v>0.335197016440719</v>
      </c>
      <c r="H134" s="11" t="n">
        <f aca="false">IF(TradeMap_Datos!H135="",0,TradeMap_Datos!H135/TradeMap_Datos!H$5)</f>
        <v>0.289374727636645</v>
      </c>
      <c r="I134" s="11" t="n">
        <f aca="false">IF(TradeMap_Datos!I135="",0,TradeMap_Datos!I135/TradeMap_Datos!I$5)</f>
        <v>0.238592125119267</v>
      </c>
      <c r="J134" s="11" t="n">
        <f aca="false">IF(TradeMap_Datos!J135="",0,TradeMap_Datos!J135/TradeMap_Datos!J$5)</f>
        <v>0.252312353520601</v>
      </c>
      <c r="K134" s="11" t="n">
        <f aca="false">IF(TradeMap_Datos!K135="",0,TradeMap_Datos!K135/TradeMap_Datos!K$5)</f>
        <v>0.217671735401636</v>
      </c>
      <c r="L134" s="11" t="n">
        <f aca="false">IF(TradeMap_Datos!L135="",0,TradeMap_Datos!L135/TradeMap_Datos!L$5)</f>
        <v>0</v>
      </c>
    </row>
    <row r="135" customFormat="false" ht="15" hidden="false" customHeight="false" outlineLevel="0" collapsed="false">
      <c r="A135" s="4" t="str">
        <f aca="false">TradeMap_Datos!A136</f>
        <v>694</v>
      </c>
      <c r="B135" s="4" t="str">
        <f aca="false">TradeMap_Datos!B136</f>
        <v>Sierra Leona</v>
      </c>
      <c r="C135" s="11" t="n">
        <f aca="false">IF(TradeMap_Datos!C136="",0,TradeMap_Datos!C136/TradeMap_Datos!C$5)</f>
        <v>0</v>
      </c>
      <c r="D135" s="11" t="n">
        <f aca="false">IF(TradeMap_Datos!D136="",0,TradeMap_Datos!D136/TradeMap_Datos!D$5)</f>
        <v>7.82803988229759E-007</v>
      </c>
      <c r="E135" s="11" t="n">
        <f aca="false">IF(TradeMap_Datos!E136="",0,TradeMap_Datos!E136/TradeMap_Datos!E$5)</f>
        <v>0</v>
      </c>
      <c r="F135" s="11" t="n">
        <f aca="false">IF(TradeMap_Datos!F136="",0,TradeMap_Datos!F136/TradeMap_Datos!F$5)</f>
        <v>0</v>
      </c>
      <c r="G135" s="11" t="n">
        <f aca="false">IF(TradeMap_Datos!G136="",0,TradeMap_Datos!G136/TradeMap_Datos!G$5)</f>
        <v>0</v>
      </c>
      <c r="H135" s="11" t="n">
        <f aca="false">IF(TradeMap_Datos!H136="",0,TradeMap_Datos!H136/TradeMap_Datos!H$5)</f>
        <v>0</v>
      </c>
      <c r="I135" s="11" t="n">
        <f aca="false">IF(TradeMap_Datos!I136="",0,TradeMap_Datos!I136/TradeMap_Datos!I$5)</f>
        <v>0</v>
      </c>
      <c r="J135" s="11" t="n">
        <f aca="false">IF(TradeMap_Datos!J136="",0,TradeMap_Datos!J136/TradeMap_Datos!J$5)</f>
        <v>0</v>
      </c>
      <c r="K135" s="11" t="n">
        <f aca="false">IF(TradeMap_Datos!K136="",0,TradeMap_Datos!K136/TradeMap_Datos!K$5)</f>
        <v>0</v>
      </c>
      <c r="L135" s="11" t="n">
        <f aca="false">IF(TradeMap_Datos!L136="",0,TradeMap_Datos!L136/TradeMap_Datos!L$5)</f>
        <v>0</v>
      </c>
    </row>
    <row r="136" customFormat="false" ht="15" hidden="false" customHeight="false" outlineLevel="0" collapsed="false">
      <c r="A136" s="4" t="str">
        <f aca="false">TradeMap_Datos!A137</f>
        <v>662</v>
      </c>
      <c r="B136" s="4" t="str">
        <f aca="false">TradeMap_Datos!B137</f>
        <v>Santa Lucía</v>
      </c>
      <c r="C136" s="11" t="n">
        <f aca="false">IF(TradeMap_Datos!C137="",0,TradeMap_Datos!C137/TradeMap_Datos!C$5)</f>
        <v>0.000161083049678857</v>
      </c>
      <c r="D136" s="11" t="n">
        <f aca="false">IF(TradeMap_Datos!D137="",0,TradeMap_Datos!D137/TradeMap_Datos!D$5)</f>
        <v>7.14960975916514E-005</v>
      </c>
      <c r="E136" s="11" t="n">
        <f aca="false">IF(TradeMap_Datos!E137="",0,TradeMap_Datos!E137/TradeMap_Datos!E$5)</f>
        <v>0.000119060860069364</v>
      </c>
      <c r="F136" s="11" t="n">
        <f aca="false">IF(TradeMap_Datos!F137="",0,TradeMap_Datos!F137/TradeMap_Datos!F$5)</f>
        <v>0.000188658134126028</v>
      </c>
      <c r="G136" s="11" t="n">
        <f aca="false">IF(TradeMap_Datos!G137="",0,TradeMap_Datos!G137/TradeMap_Datos!G$5)</f>
        <v>6.44861515989441E-005</v>
      </c>
      <c r="H136" s="11" t="n">
        <f aca="false">IF(TradeMap_Datos!H137="",0,TradeMap_Datos!H137/TradeMap_Datos!H$5)</f>
        <v>0</v>
      </c>
      <c r="I136" s="11" t="n">
        <f aca="false">IF(TradeMap_Datos!I137="",0,TradeMap_Datos!I137/TradeMap_Datos!I$5)</f>
        <v>0</v>
      </c>
      <c r="J136" s="11" t="n">
        <f aca="false">IF(TradeMap_Datos!J137="",0,TradeMap_Datos!J137/TradeMap_Datos!J$5)</f>
        <v>0</v>
      </c>
      <c r="K136" s="11" t="n">
        <f aca="false">IF(TradeMap_Datos!K137="",0,TradeMap_Datos!K137/TradeMap_Datos!K$5)</f>
        <v>0</v>
      </c>
      <c r="L136" s="11" t="n">
        <f aca="false">IF(TradeMap_Datos!L137="",0,TradeMap_Datos!L137/TradeMap_Datos!L$5)</f>
        <v>0</v>
      </c>
    </row>
    <row r="137" customFormat="false" ht="15" hidden="false" customHeight="false" outlineLevel="0" collapsed="false">
      <c r="A137" s="4" t="str">
        <f aca="false">TradeMap_Datos!A138</f>
        <v>670</v>
      </c>
      <c r="B137" s="4" t="str">
        <f aca="false">TradeMap_Datos!B138</f>
        <v>San Vicente y las Granadinas</v>
      </c>
      <c r="C137" s="11" t="n">
        <f aca="false">IF(TradeMap_Datos!C138="",0,TradeMap_Datos!C138/TradeMap_Datos!C$5)</f>
        <v>1.52639180139239E-005</v>
      </c>
      <c r="D137" s="11" t="n">
        <f aca="false">IF(TradeMap_Datos!D138="",0,TradeMap_Datos!D138/TradeMap_Datos!D$5)</f>
        <v>1.30467331371627E-005</v>
      </c>
      <c r="E137" s="11" t="n">
        <f aca="false">IF(TradeMap_Datos!E138="",0,TradeMap_Datos!E138/TradeMap_Datos!E$5)</f>
        <v>1.69364705406526E-005</v>
      </c>
      <c r="F137" s="11" t="n">
        <f aca="false">IF(TradeMap_Datos!F138="",0,TradeMap_Datos!F138/TradeMap_Datos!F$5)</f>
        <v>1.8460581143597E-005</v>
      </c>
      <c r="G137" s="11" t="n">
        <f aca="false">IF(TradeMap_Datos!G138="",0,TradeMap_Datos!G138/TradeMap_Datos!G$5)</f>
        <v>1.92458669500725E-005</v>
      </c>
      <c r="H137" s="11" t="n">
        <f aca="false">IF(TradeMap_Datos!H138="",0,TradeMap_Datos!H138/TradeMap_Datos!H$5)</f>
        <v>1.1644723081767E-005</v>
      </c>
      <c r="I137" s="11" t="n">
        <f aca="false">IF(TradeMap_Datos!I138="",0,TradeMap_Datos!I138/TradeMap_Datos!I$5)</f>
        <v>2.0951361696947E-005</v>
      </c>
      <c r="J137" s="11" t="n">
        <f aca="false">IF(TradeMap_Datos!J138="",0,TradeMap_Datos!J138/TradeMap_Datos!J$5)</f>
        <v>1.35864950239462E-005</v>
      </c>
      <c r="K137" s="11" t="n">
        <f aca="false">IF(TradeMap_Datos!K138="",0,TradeMap_Datos!K138/TradeMap_Datos!K$5)</f>
        <v>0</v>
      </c>
      <c r="L137" s="11" t="n">
        <f aca="false">IF(TradeMap_Datos!L138="",0,TradeMap_Datos!L138/TradeMap_Datos!L$5)</f>
        <v>0</v>
      </c>
    </row>
    <row r="138" customFormat="false" ht="15" hidden="false" customHeight="false" outlineLevel="0" collapsed="false">
      <c r="A138" s="4" t="str">
        <f aca="false">TradeMap_Datos!A139</f>
        <v>626</v>
      </c>
      <c r="B138" s="4" t="str">
        <f aca="false">TradeMap_Datos!B139</f>
        <v>Timor-Leste</v>
      </c>
      <c r="C138" s="11" t="n">
        <f aca="false">IF(TradeMap_Datos!C139="",0,TradeMap_Datos!C139/TradeMap_Datos!C$5)</f>
        <v>0</v>
      </c>
      <c r="D138" s="11" t="n">
        <f aca="false">IF(TradeMap_Datos!D139="",0,TradeMap_Datos!D139/TradeMap_Datos!D$5)</f>
        <v>0</v>
      </c>
      <c r="E138" s="11" t="n">
        <f aca="false">IF(TradeMap_Datos!E139="",0,TradeMap_Datos!E139/TradeMap_Datos!E$5)</f>
        <v>0</v>
      </c>
      <c r="F138" s="11" t="n">
        <f aca="false">IF(TradeMap_Datos!F139="",0,TradeMap_Datos!F139/TradeMap_Datos!F$5)</f>
        <v>0</v>
      </c>
      <c r="G138" s="11" t="n">
        <f aca="false">IF(TradeMap_Datos!G139="",0,TradeMap_Datos!G139/TradeMap_Datos!G$5)</f>
        <v>0</v>
      </c>
      <c r="H138" s="11" t="n">
        <f aca="false">IF(TradeMap_Datos!H139="",0,TradeMap_Datos!H139/TradeMap_Datos!H$5)</f>
        <v>1.79149585873339E-006</v>
      </c>
      <c r="I138" s="11" t="n">
        <f aca="false">IF(TradeMap_Datos!I139="",0,TradeMap_Datos!I139/TradeMap_Datos!I$5)</f>
        <v>2.83126509418203E-007</v>
      </c>
      <c r="J138" s="11" t="n">
        <f aca="false">IF(TradeMap_Datos!J139="",0,TradeMap_Datos!J139/TradeMap_Datos!J$5)</f>
        <v>0</v>
      </c>
      <c r="K138" s="11" t="n">
        <f aca="false">IF(TradeMap_Datos!K139="",0,TradeMap_Datos!K139/TradeMap_Datos!K$5)</f>
        <v>0</v>
      </c>
      <c r="L138" s="11" t="n">
        <f aca="false">IF(TradeMap_Datos!L139="",0,TradeMap_Datos!L139/TradeMap_Datos!L$5)</f>
        <v>0</v>
      </c>
    </row>
    <row r="139" customFormat="false" ht="15" hidden="false" customHeight="false" outlineLevel="0" collapsed="false">
      <c r="A139" s="4" t="str">
        <f aca="false">TradeMap_Datos!A140</f>
        <v>531</v>
      </c>
      <c r="B139" s="4" t="str">
        <f aca="false">TradeMap_Datos!B140</f>
        <v>Curaçao</v>
      </c>
      <c r="C139" s="11" t="n">
        <f aca="false">IF(TradeMap_Datos!C140="",0,TradeMap_Datos!C140/TradeMap_Datos!C$5)</f>
        <v>0</v>
      </c>
      <c r="D139" s="11" t="n">
        <f aca="false">IF(TradeMap_Datos!D140="",0,TradeMap_Datos!D140/TradeMap_Datos!D$5)</f>
        <v>1.30467331371627E-006</v>
      </c>
      <c r="E139" s="11" t="n">
        <f aca="false">IF(TradeMap_Datos!E140="",0,TradeMap_Datos!E140/TradeMap_Datos!E$5)</f>
        <v>7.58349427193399E-007</v>
      </c>
      <c r="F139" s="11" t="n">
        <f aca="false">IF(TradeMap_Datos!F140="",0,TradeMap_Datos!F140/TradeMap_Datos!F$5)</f>
        <v>3.82719365172133E-006</v>
      </c>
      <c r="G139" s="11" t="n">
        <f aca="false">IF(TradeMap_Datos!G140="",0,TradeMap_Datos!G140/TradeMap_Datos!G$5)</f>
        <v>1.57466184136957E-005</v>
      </c>
      <c r="H139" s="11" t="n">
        <f aca="false">IF(TradeMap_Datos!H140="",0,TradeMap_Datos!H140/TradeMap_Datos!H$5)</f>
        <v>0</v>
      </c>
      <c r="I139" s="11" t="n">
        <f aca="false">IF(TradeMap_Datos!I140="",0,TradeMap_Datos!I140/TradeMap_Datos!I$5)</f>
        <v>0</v>
      </c>
      <c r="J139" s="11" t="n">
        <f aca="false">IF(TradeMap_Datos!J140="",0,TradeMap_Datos!J140/TradeMap_Datos!J$5)</f>
        <v>0</v>
      </c>
      <c r="K139" s="11" t="n">
        <f aca="false">IF(TradeMap_Datos!K140="",0,TradeMap_Datos!K140/TradeMap_Datos!K$5)</f>
        <v>0</v>
      </c>
      <c r="L139" s="11" t="n">
        <f aca="false">IF(TradeMap_Datos!L140="",0,TradeMap_Datos!L140/TradeMap_Datos!L$5)</f>
        <v>0</v>
      </c>
    </row>
    <row r="140" customFormat="false" ht="15" hidden="false" customHeight="false" outlineLevel="0" collapsed="false">
      <c r="A140" s="4" t="str">
        <f aca="false">TradeMap_Datos!A141</f>
        <v>533</v>
      </c>
      <c r="B140" s="4" t="str">
        <f aca="false">TradeMap_Datos!B141</f>
        <v>Aruba</v>
      </c>
      <c r="C140" s="11" t="n">
        <f aca="false">IF(TradeMap_Datos!C141="",0,TradeMap_Datos!C141/TradeMap_Datos!C$5)</f>
        <v>1.62382106531106E-006</v>
      </c>
      <c r="D140" s="11" t="n">
        <f aca="false">IF(TradeMap_Datos!D141="",0,TradeMap_Datos!D141/TradeMap_Datos!D$5)</f>
        <v>0</v>
      </c>
      <c r="E140" s="11" t="n">
        <f aca="false">IF(TradeMap_Datos!E141="",0,TradeMap_Datos!E141/TradeMap_Datos!E$5)</f>
        <v>0</v>
      </c>
      <c r="F140" s="11" t="n">
        <f aca="false">IF(TradeMap_Datos!F141="",0,TradeMap_Datos!F141/TradeMap_Datos!F$5)</f>
        <v>0</v>
      </c>
      <c r="G140" s="11" t="n">
        <f aca="false">IF(TradeMap_Datos!G141="",0,TradeMap_Datos!G141/TradeMap_Datos!G$5)</f>
        <v>0</v>
      </c>
      <c r="H140" s="11" t="n">
        <f aca="false">IF(TradeMap_Datos!H141="",0,TradeMap_Datos!H141/TradeMap_Datos!H$5)</f>
        <v>0</v>
      </c>
      <c r="I140" s="11" t="n">
        <f aca="false">IF(TradeMap_Datos!I141="",0,TradeMap_Datos!I141/TradeMap_Datos!I$5)</f>
        <v>0</v>
      </c>
      <c r="J140" s="11" t="n">
        <f aca="false">IF(TradeMap_Datos!J141="",0,TradeMap_Datos!J141/TradeMap_Datos!J$5)</f>
        <v>0</v>
      </c>
      <c r="K140" s="11" t="n">
        <f aca="false">IF(TradeMap_Datos!K141="",0,TradeMap_Datos!K141/TradeMap_Datos!K$5)</f>
        <v>0</v>
      </c>
      <c r="L140" s="11" t="n">
        <f aca="false">IF(TradeMap_Datos!L141="",0,TradeMap_Datos!L141/TradeMap_Datos!L$5)</f>
        <v>0</v>
      </c>
    </row>
    <row r="141" customFormat="false" ht="15" hidden="false" customHeight="false" outlineLevel="0" collapsed="false">
      <c r="A141" s="4" t="str">
        <f aca="false">TradeMap_Datos!A142</f>
        <v>231</v>
      </c>
      <c r="B141" s="4" t="str">
        <f aca="false">TradeMap_Datos!B142</f>
        <v>Etiopía</v>
      </c>
      <c r="C141" s="11" t="n">
        <f aca="false">IF(TradeMap_Datos!C142="",0,TradeMap_Datos!C142/TradeMap_Datos!C$5)</f>
        <v>8.4438695396175E-006</v>
      </c>
      <c r="D141" s="11" t="n">
        <f aca="false">IF(TradeMap_Datos!D142="",0,TradeMap_Datos!D142/TradeMap_Datos!D$5)</f>
        <v>1.06983211724734E-005</v>
      </c>
      <c r="E141" s="11" t="n">
        <f aca="false">IF(TradeMap_Datos!E142="",0,TradeMap_Datos!E142/TradeMap_Datos!E$5)</f>
        <v>7.33071112953619E-006</v>
      </c>
      <c r="F141" s="11" t="n">
        <f aca="false">IF(TradeMap_Datos!F142="",0,TradeMap_Datos!F142/TradeMap_Datos!F$5)</f>
        <v>7.8795163417792E-006</v>
      </c>
      <c r="G141" s="11" t="n">
        <f aca="false">IF(TradeMap_Datos!G142="",0,TradeMap_Datos!G142/TradeMap_Datos!G$5)</f>
        <v>1.99957059221532E-006</v>
      </c>
      <c r="H141" s="11" t="n">
        <f aca="false">IF(TradeMap_Datos!H142="",0,TradeMap_Datos!H142/TradeMap_Datos!H$5)</f>
        <v>4.70267662917514E-006</v>
      </c>
      <c r="I141" s="11" t="n">
        <f aca="false">IF(TradeMap_Datos!I142="",0,TradeMap_Datos!I142/TradeMap_Datos!I$5)</f>
        <v>5.66253018836407E-006</v>
      </c>
      <c r="J141" s="11" t="n">
        <f aca="false">IF(TradeMap_Datos!J142="",0,TradeMap_Datos!J142/TradeMap_Datos!J$5)</f>
        <v>3.80421860670494E-006</v>
      </c>
      <c r="K141" s="11" t="n">
        <f aca="false">IF(TradeMap_Datos!K142="",0,TradeMap_Datos!K142/TradeMap_Datos!K$5)</f>
        <v>0</v>
      </c>
      <c r="L141" s="11" t="n">
        <f aca="false">IF(TradeMap_Datos!L142="",0,TradeMap_Datos!L142/TradeMap_Datos!L$5)</f>
        <v>0</v>
      </c>
    </row>
    <row r="142" customFormat="false" ht="15" hidden="false" customHeight="false" outlineLevel="0" collapsed="false">
      <c r="A142" s="4" t="str">
        <f aca="false">TradeMap_Datos!A143</f>
        <v>212</v>
      </c>
      <c r="B142" s="4" t="str">
        <f aca="false">TradeMap_Datos!B143</f>
        <v>Dominica</v>
      </c>
      <c r="C142" s="11" t="n">
        <f aca="false">IF(TradeMap_Datos!C143="",0,TradeMap_Datos!C143/TradeMap_Datos!C$5)</f>
        <v>0.000108471247162779</v>
      </c>
      <c r="D142" s="11" t="n">
        <f aca="false">IF(TradeMap_Datos!D143="",0,TradeMap_Datos!D143/TradeMap_Datos!D$5)</f>
        <v>6.0797776419178E-005</v>
      </c>
      <c r="E142" s="11" t="n">
        <f aca="false">IF(TradeMap_Datos!E143="",0,TradeMap_Datos!E143/TradeMap_Datos!E$5)</f>
        <v>2.24976996734042E-005</v>
      </c>
      <c r="F142" s="11" t="n">
        <f aca="false">IF(TradeMap_Datos!F143="",0,TradeMap_Datos!F143/TradeMap_Datos!F$5)</f>
        <v>5.56068724691275E-005</v>
      </c>
      <c r="G142" s="11" t="n">
        <f aca="false">IF(TradeMap_Datos!G143="",0,TradeMap_Datos!G143/TradeMap_Datos!G$5)</f>
        <v>8.92308376776087E-005</v>
      </c>
      <c r="H142" s="11" t="n">
        <f aca="false">IF(TradeMap_Datos!H143="",0,TradeMap_Datos!H143/TradeMap_Datos!H$5)</f>
        <v>0.000115327545905962</v>
      </c>
      <c r="I142" s="11" t="n">
        <f aca="false">IF(TradeMap_Datos!I143="",0,TradeMap_Datos!I143/TradeMap_Datos!I$5)</f>
        <v>3.22764220736752E-005</v>
      </c>
      <c r="J142" s="11" t="n">
        <f aca="false">IF(TradeMap_Datos!J143="",0,TradeMap_Datos!J143/TradeMap_Datos!J$5)</f>
        <v>0.000127441323324615</v>
      </c>
      <c r="K142" s="11" t="n">
        <f aca="false">IF(TradeMap_Datos!K143="",0,TradeMap_Datos!K143/TradeMap_Datos!K$5)</f>
        <v>0</v>
      </c>
      <c r="L142" s="11" t="n">
        <f aca="false">IF(TradeMap_Datos!L143="",0,TradeMap_Datos!L143/TradeMap_Datos!L$5)</f>
        <v>0</v>
      </c>
    </row>
    <row r="143" customFormat="false" ht="15" hidden="false" customHeight="false" outlineLevel="0" collapsed="false">
      <c r="A143" s="4" t="str">
        <f aca="false">TradeMap_Datos!A144</f>
        <v>192</v>
      </c>
      <c r="B143" s="4" t="str">
        <f aca="false">TradeMap_Datos!B144</f>
        <v>Cuba</v>
      </c>
      <c r="C143" s="11" t="n">
        <f aca="false">IF(TradeMap_Datos!C144="",0,TradeMap_Datos!C144/TradeMap_Datos!C$5)</f>
        <v>0</v>
      </c>
      <c r="D143" s="11" t="n">
        <f aca="false">IF(TradeMap_Datos!D144="",0,TradeMap_Datos!D144/TradeMap_Datos!D$5)</f>
        <v>0</v>
      </c>
      <c r="E143" s="11" t="n">
        <f aca="false">IF(TradeMap_Datos!E144="",0,TradeMap_Datos!E144/TradeMap_Datos!E$5)</f>
        <v>0</v>
      </c>
      <c r="F143" s="11" t="n">
        <f aca="false">IF(TradeMap_Datos!F144="",0,TradeMap_Datos!F144/TradeMap_Datos!F$5)</f>
        <v>0</v>
      </c>
      <c r="G143" s="11" t="n">
        <f aca="false">IF(TradeMap_Datos!G144="",0,TradeMap_Datos!G144/TradeMap_Datos!G$5)</f>
        <v>0</v>
      </c>
      <c r="H143" s="11" t="n">
        <f aca="false">IF(TradeMap_Datos!H144="",0,TradeMap_Datos!H144/TradeMap_Datos!H$5)</f>
        <v>2.01543284107506E-006</v>
      </c>
      <c r="I143" s="11" t="n">
        <f aca="false">IF(TradeMap_Datos!I144="",0,TradeMap_Datos!I144/TradeMap_Datos!I$5)</f>
        <v>2.54813858476383E-006</v>
      </c>
      <c r="J143" s="11" t="n">
        <f aca="false">IF(TradeMap_Datos!J144="",0,TradeMap_Datos!J144/TradeMap_Datos!J$5)</f>
        <v>0</v>
      </c>
      <c r="K143" s="11" t="n">
        <f aca="false">IF(TradeMap_Datos!K144="",0,TradeMap_Datos!K144/TradeMap_Datos!K$5)</f>
        <v>0</v>
      </c>
      <c r="L143" s="11" t="n">
        <f aca="false">IF(TradeMap_Datos!L144="",0,TradeMap_Datos!L144/TradeMap_Datos!L$5)</f>
        <v>0</v>
      </c>
    </row>
    <row r="144" customFormat="false" ht="15" hidden="false" customHeight="false" outlineLevel="0" collapsed="false">
      <c r="A144" s="4" t="str">
        <f aca="false">TradeMap_Datos!A145</f>
        <v>364</v>
      </c>
      <c r="B144" s="4" t="str">
        <f aca="false">TradeMap_Datos!B145</f>
        <v>Irán, República Islámica del</v>
      </c>
      <c r="C144" s="11" t="n">
        <f aca="false">IF(TradeMap_Datos!C145="",0,TradeMap_Datos!C145/TradeMap_Datos!C$5)</f>
        <v>0.00384975498163946</v>
      </c>
      <c r="D144" s="11" t="n">
        <f aca="false">IF(TradeMap_Datos!D145="",0,TradeMap_Datos!D145/TradeMap_Datos!D$5)</f>
        <v>0.00108861941296485</v>
      </c>
      <c r="E144" s="11" t="n">
        <f aca="false">IF(TradeMap_Datos!E145="",0,TradeMap_Datos!E145/TradeMap_Datos!E$5)</f>
        <v>0.00335165168505243</v>
      </c>
      <c r="F144" s="11" t="n">
        <f aca="false">IF(TradeMap_Datos!F145="",0,TradeMap_Datos!F145/TradeMap_Datos!F$5)</f>
        <v>0.00319052873130557</v>
      </c>
      <c r="G144" s="11" t="n">
        <f aca="false">IF(TradeMap_Datos!G145="",0,TradeMap_Datos!G145/TradeMap_Datos!G$5)</f>
        <v>0.00171938076298115</v>
      </c>
      <c r="H144" s="11" t="n">
        <f aca="false">IF(TradeMap_Datos!H145="",0,TradeMap_Datos!H145/TradeMap_Datos!H$5)</f>
        <v>0.00197467631028887</v>
      </c>
      <c r="I144" s="11" t="n">
        <f aca="false">IF(TradeMap_Datos!I145="",0,TradeMap_Datos!I145/TradeMap_Datos!I$5)</f>
        <v>0.00303115240983129</v>
      </c>
      <c r="J144" s="11" t="n">
        <f aca="false">IF(TradeMap_Datos!J145="",0,TradeMap_Datos!J145/TradeMap_Datos!J$5)</f>
        <v>0.00467565639754084</v>
      </c>
      <c r="K144" s="11" t="n">
        <f aca="false">IF(TradeMap_Datos!K145="",0,TradeMap_Datos!K145/TradeMap_Datos!K$5)</f>
        <v>0</v>
      </c>
      <c r="L144" s="11" t="n">
        <f aca="false">IF(TradeMap_Datos!L145="",0,TradeMap_Datos!L145/TradeMap_Datos!L$5)</f>
        <v>0</v>
      </c>
    </row>
    <row r="145" customFormat="false" ht="15" hidden="false" customHeight="false" outlineLevel="0" collapsed="false">
      <c r="A145" s="4" t="str">
        <f aca="false">TradeMap_Datos!A146</f>
        <v>332</v>
      </c>
      <c r="B145" s="4" t="str">
        <f aca="false">TradeMap_Datos!B146</f>
        <v>Haití</v>
      </c>
      <c r="C145" s="11" t="n">
        <f aca="false">IF(TradeMap_Datos!C146="",0,TradeMap_Datos!C146/TradeMap_Datos!C$5)</f>
        <v>3.24764213062212E-007</v>
      </c>
      <c r="D145" s="11" t="n">
        <f aca="false">IF(TradeMap_Datos!D146="",0,TradeMap_Datos!D146/TradeMap_Datos!D$5)</f>
        <v>0</v>
      </c>
      <c r="E145" s="11" t="n">
        <f aca="false">IF(TradeMap_Datos!E146="",0,TradeMap_Datos!E146/TradeMap_Datos!E$5)</f>
        <v>0</v>
      </c>
      <c r="F145" s="11" t="n">
        <f aca="false">IF(TradeMap_Datos!F146="",0,TradeMap_Datos!F146/TradeMap_Datos!F$5)</f>
        <v>0</v>
      </c>
      <c r="G145" s="11" t="n">
        <f aca="false">IF(TradeMap_Datos!G146="",0,TradeMap_Datos!G146/TradeMap_Datos!G$5)</f>
        <v>0</v>
      </c>
      <c r="H145" s="11" t="n">
        <f aca="false">IF(TradeMap_Datos!H146="",0,TradeMap_Datos!H146/TradeMap_Datos!H$5)</f>
        <v>0</v>
      </c>
      <c r="I145" s="11" t="n">
        <f aca="false">IF(TradeMap_Datos!I146="",0,TradeMap_Datos!I146/TradeMap_Datos!I$5)</f>
        <v>0</v>
      </c>
      <c r="J145" s="11" t="n">
        <f aca="false">IF(TradeMap_Datos!J146="",0,TradeMap_Datos!J146/TradeMap_Datos!J$5)</f>
        <v>0</v>
      </c>
      <c r="K145" s="11" t="n">
        <f aca="false">IF(TradeMap_Datos!K146="",0,TradeMap_Datos!K146/TradeMap_Datos!K$5)</f>
        <v>0</v>
      </c>
      <c r="L145" s="11" t="n">
        <f aca="false">IF(TradeMap_Datos!L146="",0,TradeMap_Datos!L146/TradeMap_Datos!L$5)</f>
        <v>0</v>
      </c>
    </row>
    <row r="146" customFormat="false" ht="15" hidden="false" customHeight="false" outlineLevel="0" collapsed="false">
      <c r="A146" s="4" t="str">
        <f aca="false">TradeMap_Datos!A147</f>
        <v>340</v>
      </c>
      <c r="B146" s="4" t="str">
        <f aca="false">TradeMap_Datos!B147</f>
        <v>Honduras</v>
      </c>
      <c r="C146" s="11" t="n">
        <f aca="false">IF(TradeMap_Datos!C147="",0,TradeMap_Datos!C147/TradeMap_Datos!C$5)</f>
        <v>0.000981762216087065</v>
      </c>
      <c r="D146" s="11" t="n">
        <f aca="false">IF(TradeMap_Datos!D147="",0,TradeMap_Datos!D147/TradeMap_Datos!D$5)</f>
        <v>0.000645813290289551</v>
      </c>
      <c r="E146" s="11" t="n">
        <f aca="false">IF(TradeMap_Datos!E147="",0,TradeMap_Datos!E147/TradeMap_Datos!E$5)</f>
        <v>0.00055612291327516</v>
      </c>
      <c r="F146" s="11" t="n">
        <f aca="false">IF(TradeMap_Datos!F147="",0,TradeMap_Datos!F147/TradeMap_Datos!F$5)</f>
        <v>0.000707130309415099</v>
      </c>
      <c r="G146" s="11" t="n">
        <f aca="false">IF(TradeMap_Datos!G147="",0,TradeMap_Datos!G147/TradeMap_Datos!G$5)</f>
        <v>0.000892308376776087</v>
      </c>
      <c r="H146" s="11" t="n">
        <f aca="false">IF(TradeMap_Datos!H147="",0,TradeMap_Datos!H147/TradeMap_Datos!H$5)</f>
        <v>0.000676289686671853</v>
      </c>
      <c r="I146" s="11" t="n">
        <f aca="false">IF(TradeMap_Datos!I147="",0,TradeMap_Datos!I147/TradeMap_Datos!I$5)</f>
        <v>0.00075962842476904</v>
      </c>
      <c r="J146" s="11" t="n">
        <f aca="false">IF(TradeMap_Datos!J147="",0,TradeMap_Datos!J147/TradeMap_Datos!J$5)</f>
        <v>0.001424679868211</v>
      </c>
      <c r="K146" s="11" t="n">
        <f aca="false">IF(TradeMap_Datos!K147="",0,TradeMap_Datos!K147/TradeMap_Datos!K$5)</f>
        <v>0.00157130698677106</v>
      </c>
      <c r="L146" s="11" t="n">
        <f aca="false">IF(TradeMap_Datos!L147="",0,TradeMap_Datos!L147/TradeMap_Datos!L$5)</f>
        <v>0</v>
      </c>
    </row>
    <row r="147" customFormat="false" ht="15" hidden="false" customHeight="false" outlineLevel="0" collapsed="false">
      <c r="A147" s="4" t="str">
        <f aca="false">TradeMap_Datos!A148</f>
        <v>275</v>
      </c>
      <c r="B147" s="4" t="str">
        <f aca="false">TradeMap_Datos!B148</f>
        <v>Palestina, Estado de</v>
      </c>
      <c r="C147" s="11" t="n">
        <f aca="false">IF(TradeMap_Datos!C148="",0,TradeMap_Datos!C148/TradeMap_Datos!C$5)</f>
        <v>8.4438695396175E-006</v>
      </c>
      <c r="D147" s="11" t="n">
        <f aca="false">IF(TradeMap_Datos!D148="",0,TradeMap_Datos!D148/TradeMap_Datos!D$5)</f>
        <v>2.60934662743253E-006</v>
      </c>
      <c r="E147" s="11" t="n">
        <f aca="false">IF(TradeMap_Datos!E148="",0,TradeMap_Datos!E148/TradeMap_Datos!E$5)</f>
        <v>5.055662847956E-007</v>
      </c>
      <c r="F147" s="11" t="n">
        <f aca="false">IF(TradeMap_Datos!F148="",0,TradeMap_Datos!F148/TradeMap_Datos!F$5)</f>
        <v>0</v>
      </c>
      <c r="G147" s="11" t="n">
        <f aca="false">IF(TradeMap_Datos!G148="",0,TradeMap_Datos!G148/TradeMap_Datos!G$5)</f>
        <v>0</v>
      </c>
      <c r="H147" s="11" t="n">
        <f aca="false">IF(TradeMap_Datos!H148="",0,TradeMap_Datos!H148/TradeMap_Datos!H$5)</f>
        <v>0</v>
      </c>
      <c r="I147" s="11" t="n">
        <f aca="false">IF(TradeMap_Datos!I148="",0,TradeMap_Datos!I148/TradeMap_Datos!I$5)</f>
        <v>0</v>
      </c>
      <c r="J147" s="11" t="n">
        <f aca="false">IF(TradeMap_Datos!J148="",0,TradeMap_Datos!J148/TradeMap_Datos!J$5)</f>
        <v>0</v>
      </c>
      <c r="K147" s="11" t="n">
        <f aca="false">IF(TradeMap_Datos!K148="",0,TradeMap_Datos!K148/TradeMap_Datos!K$5)</f>
        <v>2.30509582411402E-006</v>
      </c>
      <c r="L147" s="11" t="n">
        <f aca="false">IF(TradeMap_Datos!L148="",0,TradeMap_Datos!L148/TradeMap_Datos!L$5)</f>
        <v>0</v>
      </c>
    </row>
    <row r="148" customFormat="false" ht="15" hidden="false" customHeight="false" outlineLevel="0" collapsed="false">
      <c r="A148" s="4" t="str">
        <f aca="false">TradeMap_Datos!A149</f>
        <v>262</v>
      </c>
      <c r="B148" s="4" t="str">
        <f aca="false">TradeMap_Datos!B149</f>
        <v>Djibouti</v>
      </c>
      <c r="C148" s="11" t="n">
        <f aca="false">IF(TradeMap_Datos!C149="",0,TradeMap_Datos!C149/TradeMap_Datos!C$5)</f>
        <v>0</v>
      </c>
      <c r="D148" s="11" t="n">
        <f aca="false">IF(TradeMap_Datos!D149="",0,TradeMap_Datos!D149/TradeMap_Datos!D$5)</f>
        <v>0</v>
      </c>
      <c r="E148" s="11" t="n">
        <f aca="false">IF(TradeMap_Datos!E149="",0,TradeMap_Datos!E149/TradeMap_Datos!E$5)</f>
        <v>0</v>
      </c>
      <c r="F148" s="11" t="n">
        <f aca="false">IF(TradeMap_Datos!F149="",0,TradeMap_Datos!F149/TradeMap_Datos!F$5)</f>
        <v>0</v>
      </c>
      <c r="G148" s="11" t="n">
        <f aca="false">IF(TradeMap_Datos!G149="",0,TradeMap_Datos!G149/TradeMap_Datos!G$5)</f>
        <v>0</v>
      </c>
      <c r="H148" s="11" t="n">
        <f aca="false">IF(TradeMap_Datos!H149="",0,TradeMap_Datos!H149/TradeMap_Datos!H$5)</f>
        <v>1.58995257462588E-005</v>
      </c>
      <c r="I148" s="11" t="n">
        <f aca="false">IF(TradeMap_Datos!I149="",0,TradeMap_Datos!I149/TradeMap_Datos!I$5)</f>
        <v>3.93545848091303E-005</v>
      </c>
      <c r="J148" s="11" t="n">
        <f aca="false">IF(TradeMap_Datos!J149="",0,TradeMap_Datos!J149/TradeMap_Datos!J$5)</f>
        <v>2.20101219387928E-005</v>
      </c>
      <c r="K148" s="11" t="n">
        <f aca="false">IF(TradeMap_Datos!K149="",0,TradeMap_Datos!K149/TradeMap_Datos!K$5)</f>
        <v>0</v>
      </c>
      <c r="L148" s="11" t="n">
        <f aca="false">IF(TradeMap_Datos!L149="",0,TradeMap_Datos!L149/TradeMap_Datos!L$5)</f>
        <v>0</v>
      </c>
    </row>
    <row r="149" customFormat="false" ht="15" hidden="false" customHeight="false" outlineLevel="0" collapsed="false">
      <c r="A149" s="4" t="str">
        <f aca="false">TradeMap_Datos!A150</f>
        <v>266</v>
      </c>
      <c r="B149" s="4" t="str">
        <f aca="false">TradeMap_Datos!B150</f>
        <v>Gabón</v>
      </c>
      <c r="C149" s="11" t="n">
        <f aca="false">IF(TradeMap_Datos!C150="",0,TradeMap_Datos!C150/TradeMap_Datos!C$5)</f>
        <v>0</v>
      </c>
      <c r="D149" s="11" t="n">
        <f aca="false">IF(TradeMap_Datos!D150="",0,TradeMap_Datos!D150/TradeMap_Datos!D$5)</f>
        <v>0</v>
      </c>
      <c r="E149" s="11" t="n">
        <f aca="false">IF(TradeMap_Datos!E150="",0,TradeMap_Datos!E150/TradeMap_Datos!E$5)</f>
        <v>0</v>
      </c>
      <c r="F149" s="11" t="n">
        <f aca="false">IF(TradeMap_Datos!F150="",0,TradeMap_Datos!F150/TradeMap_Datos!F$5)</f>
        <v>0</v>
      </c>
      <c r="G149" s="11" t="n">
        <f aca="false">IF(TradeMap_Datos!G150="",0,TradeMap_Datos!G150/TradeMap_Datos!G$5)</f>
        <v>0</v>
      </c>
      <c r="H149" s="11" t="n">
        <f aca="false">IF(TradeMap_Datos!H150="",0,TradeMap_Datos!H150/TradeMap_Datos!H$5)</f>
        <v>2.91118077044175E-006</v>
      </c>
      <c r="I149" s="11" t="n">
        <f aca="false">IF(TradeMap_Datos!I150="",0,TradeMap_Datos!I150/TradeMap_Datos!I$5)</f>
        <v>1.18913133955645E-005</v>
      </c>
      <c r="J149" s="11" t="n">
        <f aca="false">IF(TradeMap_Datos!J150="",0,TradeMap_Datos!J150/TradeMap_Datos!J$5)</f>
        <v>6.52151761149418E-006</v>
      </c>
      <c r="K149" s="11" t="n">
        <f aca="false">IF(TradeMap_Datos!K150="",0,TradeMap_Datos!K150/TradeMap_Datos!K$5)</f>
        <v>0</v>
      </c>
      <c r="L149" s="11" t="n">
        <f aca="false">IF(TradeMap_Datos!L150="",0,TradeMap_Datos!L150/TradeMap_Datos!L$5)</f>
        <v>0</v>
      </c>
    </row>
    <row r="150" customFormat="false" ht="15" hidden="false" customHeight="false" outlineLevel="0" collapsed="false">
      <c r="A150" s="4" t="str">
        <f aca="false">TradeMap_Datos!A151</f>
        <v>288</v>
      </c>
      <c r="B150" s="4" t="str">
        <f aca="false">TradeMap_Datos!B151</f>
        <v>Ghana</v>
      </c>
      <c r="C150" s="11" t="n">
        <f aca="false">IF(TradeMap_Datos!C151="",0,TradeMap_Datos!C151/TradeMap_Datos!C$5)</f>
        <v>3.05278360278479E-005</v>
      </c>
      <c r="D150" s="11" t="n">
        <f aca="false">IF(TradeMap_Datos!D151="",0,TradeMap_Datos!D151/TradeMap_Datos!D$5)</f>
        <v>0.00137068978339031</v>
      </c>
      <c r="E150" s="11" t="n">
        <f aca="false">IF(TradeMap_Datos!E151="",0,TradeMap_Datos!E151/TradeMap_Datos!E$5)</f>
        <v>0.00182357758925773</v>
      </c>
      <c r="F150" s="11" t="n">
        <f aca="false">IF(TradeMap_Datos!F151="",0,TradeMap_Datos!F151/TradeMap_Datos!F$5)</f>
        <v>0.0014820244593695</v>
      </c>
      <c r="G150" s="11" t="n">
        <f aca="false">IF(TradeMap_Datos!G151="",0,TradeMap_Datos!G151/TradeMap_Datos!G$5)</f>
        <v>0</v>
      </c>
      <c r="H150" s="11" t="n">
        <f aca="false">IF(TradeMap_Datos!H151="",0,TradeMap_Datos!H151/TradeMap_Datos!H$5)</f>
        <v>0.00124217844104926</v>
      </c>
      <c r="I150" s="11" t="n">
        <f aca="false">IF(TradeMap_Datos!I151="",0,TradeMap_Datos!I151/TradeMap_Datos!I$5)</f>
        <v>0.00155464766321535</v>
      </c>
      <c r="J150" s="11" t="n">
        <f aca="false">IF(TradeMap_Datos!J151="",0,TradeMap_Datos!J151/TradeMap_Datos!J$5)</f>
        <v>0.00171896335042967</v>
      </c>
      <c r="K150" s="11" t="n">
        <f aca="false">IF(TradeMap_Datos!K151="",0,TradeMap_Datos!K151/TradeMap_Datos!K$5)</f>
        <v>0.00217959616257892</v>
      </c>
      <c r="L150" s="11" t="n">
        <f aca="false">IF(TradeMap_Datos!L151="",0,TradeMap_Datos!L151/TradeMap_Datos!L$5)</f>
        <v>0</v>
      </c>
    </row>
    <row r="151" customFormat="false" ht="15" hidden="false" customHeight="false" outlineLevel="0" collapsed="false">
      <c r="A151" s="4" t="str">
        <f aca="false">TradeMap_Datos!A152</f>
        <v>308</v>
      </c>
      <c r="B151" s="4" t="str">
        <f aca="false">TradeMap_Datos!B152</f>
        <v>Granada</v>
      </c>
      <c r="C151" s="11" t="n">
        <f aca="false">IF(TradeMap_Datos!C152="",0,TradeMap_Datos!C152/TradeMap_Datos!C$5)</f>
        <v>0.000654399889320356</v>
      </c>
      <c r="D151" s="11" t="n">
        <f aca="false">IF(TradeMap_Datos!D152="",0,TradeMap_Datos!D152/TradeMap_Datos!D$5)</f>
        <v>0.000734270140959514</v>
      </c>
      <c r="E151" s="11" t="n">
        <f aca="false">IF(TradeMap_Datos!E152="",0,TradeMap_Datos!E152/TradeMap_Datos!E$5)</f>
        <v>0.000825589743071214</v>
      </c>
      <c r="F151" s="11" t="n">
        <f aca="false">IF(TradeMap_Datos!F152="",0,TradeMap_Datos!F152/TradeMap_Datos!F$5)</f>
        <v>0.000587811919096728</v>
      </c>
      <c r="G151" s="11" t="n">
        <f aca="false">IF(TradeMap_Datos!G152="",0,TradeMap_Datos!G152/TradeMap_Datos!G$5)</f>
        <v>0.000297686071916056</v>
      </c>
      <c r="H151" s="11" t="n">
        <f aca="false">IF(TradeMap_Datos!H152="",0,TradeMap_Datos!H152/TradeMap_Datos!H$5)</f>
        <v>0.000475194276529031</v>
      </c>
      <c r="I151" s="11" t="n">
        <f aca="false">IF(TradeMap_Datos!I152="",0,TradeMap_Datos!I152/TradeMap_Datos!I$5)</f>
        <v>0.000727635129204783</v>
      </c>
      <c r="J151" s="11" t="n">
        <f aca="false">IF(TradeMap_Datos!J152="",0,TradeMap_Datos!J152/TradeMap_Datos!J$5)</f>
        <v>0.000147549335960056</v>
      </c>
      <c r="K151" s="11" t="n">
        <f aca="false">IF(TradeMap_Datos!K152="",0,TradeMap_Datos!K152/TradeMap_Datos!K$5)</f>
        <v>8.34956931845744E-005</v>
      </c>
      <c r="L151" s="11" t="n">
        <f aca="false">IF(TradeMap_Datos!L152="",0,TradeMap_Datos!L152/TradeMap_Datos!L$5)</f>
        <v>0</v>
      </c>
    </row>
    <row r="152" customFormat="false" ht="15" hidden="false" customHeight="false" outlineLevel="0" collapsed="false">
      <c r="A152" s="4" t="str">
        <f aca="false">TradeMap_Datos!A153</f>
        <v>112</v>
      </c>
      <c r="B152" s="4" t="str">
        <f aca="false">TradeMap_Datos!B153</f>
        <v>Belarús</v>
      </c>
      <c r="C152" s="11" t="n">
        <f aca="false">IF(TradeMap_Datos!C153="",0,TradeMap_Datos!C153/TradeMap_Datos!C$5)</f>
        <v>0.000183816544593212</v>
      </c>
      <c r="D152" s="11" t="n">
        <f aca="false">IF(TradeMap_Datos!D153="",0,TradeMap_Datos!D153/TradeMap_Datos!D$5)</f>
        <v>0.000189960434477088</v>
      </c>
      <c r="E152" s="11" t="n">
        <f aca="false">IF(TradeMap_Datos!E153="",0,TradeMap_Datos!E153/TradeMap_Datos!E$5)</f>
        <v>0.000394594485282965</v>
      </c>
      <c r="F152" s="11" t="n">
        <f aca="false">IF(TradeMap_Datos!F153="",0,TradeMap_Datos!F153/TradeMap_Datos!F$5)</f>
        <v>0.000119768648395044</v>
      </c>
      <c r="G152" s="11" t="n">
        <f aca="false">IF(TradeMap_Datos!G153="",0,TradeMap_Datos!G153/TradeMap_Datos!G$5)</f>
        <v>9.17303009178779E-005</v>
      </c>
      <c r="H152" s="11" t="n">
        <f aca="false">IF(TradeMap_Datos!H153="",0,TradeMap_Datos!H153/TradeMap_Datos!H$5)</f>
        <v>0.00198900827715874</v>
      </c>
      <c r="I152" s="11" t="n">
        <f aca="false">IF(TradeMap_Datos!I153="",0,TradeMap_Datos!I153/TradeMap_Datos!I$5)</f>
        <v>0</v>
      </c>
      <c r="J152" s="11" t="n">
        <f aca="false">IF(TradeMap_Datos!J153="",0,TradeMap_Datos!J153/TradeMap_Datos!J$5)</f>
        <v>0</v>
      </c>
      <c r="K152" s="11" t="n">
        <f aca="false">IF(TradeMap_Datos!K153="",0,TradeMap_Datos!K153/TradeMap_Datos!K$5)</f>
        <v>0</v>
      </c>
      <c r="L152" s="11" t="n">
        <f aca="false">IF(TradeMap_Datos!L153="",0,TradeMap_Datos!L153/TradeMap_Datos!L$5)</f>
        <v>0</v>
      </c>
    </row>
    <row r="153" customFormat="false" ht="15" hidden="false" customHeight="false" outlineLevel="0" collapsed="false">
      <c r="A153" s="4" t="str">
        <f aca="false">TradeMap_Datos!A154</f>
        <v>104</v>
      </c>
      <c r="B153" s="4" t="str">
        <f aca="false">TradeMap_Datos!B154</f>
        <v>Myanmar</v>
      </c>
      <c r="C153" s="11" t="n">
        <f aca="false">IF(TradeMap_Datos!C154="",0,TradeMap_Datos!C154/TradeMap_Datos!C$5)</f>
        <v>0.00176964019697599</v>
      </c>
      <c r="D153" s="11" t="n">
        <f aca="false">IF(TradeMap_Datos!D154="",0,TradeMap_Datos!D154/TradeMap_Datos!D$5)</f>
        <v>0.0018254989005518</v>
      </c>
      <c r="E153" s="11" t="n">
        <f aca="false">IF(TradeMap_Datos!E154="",0,TradeMap_Datos!E154/TradeMap_Datos!E$5)</f>
        <v>0.00123459286747085</v>
      </c>
      <c r="F153" s="11" t="n">
        <f aca="false">IF(TradeMap_Datos!F154="",0,TradeMap_Datos!F154/TradeMap_Datos!F$5)</f>
        <v>0.00221234305973326</v>
      </c>
      <c r="G153" s="11" t="n">
        <f aca="false">IF(TradeMap_Datos!G154="",0,TradeMap_Datos!G154/TradeMap_Datos!G$5)</f>
        <v>1.87459743020186E-005</v>
      </c>
      <c r="H153" s="11" t="n">
        <f aca="false">IF(TradeMap_Datos!H154="",0,TradeMap_Datos!H154/TradeMap_Datos!H$5)</f>
        <v>0.00170617586846121</v>
      </c>
      <c r="I153" s="11" t="n">
        <f aca="false">IF(TradeMap_Datos!I154="",0,TradeMap_Datos!I154/TradeMap_Datos!I$5)</f>
        <v>0.000567102398364661</v>
      </c>
      <c r="J153" s="11" t="n">
        <f aca="false">IF(TradeMap_Datos!J154="",0,TradeMap_Datos!J154/TradeMap_Datos!J$5)</f>
        <v>0.000320369552664651</v>
      </c>
      <c r="K153" s="11" t="n">
        <f aca="false">IF(TradeMap_Datos!K154="",0,TradeMap_Datos!K154/TradeMap_Datos!K$5)</f>
        <v>5.89080043940249E-006</v>
      </c>
      <c r="L153" s="11" t="n">
        <f aca="false">IF(TradeMap_Datos!L154="",0,TradeMap_Datos!L154/TradeMap_Datos!L$5)</f>
        <v>0</v>
      </c>
    </row>
    <row r="154" customFormat="false" ht="15" hidden="false" customHeight="false" outlineLevel="0" collapsed="false">
      <c r="A154" s="4" t="str">
        <f aca="false">TradeMap_Datos!A155</f>
        <v>090</v>
      </c>
      <c r="B154" s="4" t="str">
        <f aca="false">TradeMap_Datos!B155</f>
        <v>Islas Salomon</v>
      </c>
      <c r="C154" s="11" t="n">
        <f aca="false">IF(TradeMap_Datos!C155="",0,TradeMap_Datos!C155/TradeMap_Datos!C$5)</f>
        <v>0</v>
      </c>
      <c r="D154" s="11" t="n">
        <f aca="false">IF(TradeMap_Datos!D155="",0,TradeMap_Datos!D155/TradeMap_Datos!D$5)</f>
        <v>0</v>
      </c>
      <c r="E154" s="11" t="n">
        <f aca="false">IF(TradeMap_Datos!E155="",0,TradeMap_Datos!E155/TradeMap_Datos!E$5)</f>
        <v>0</v>
      </c>
      <c r="F154" s="11" t="n">
        <f aca="false">IF(TradeMap_Datos!F155="",0,TradeMap_Datos!F155/TradeMap_Datos!F$5)</f>
        <v>0</v>
      </c>
      <c r="G154" s="11" t="n">
        <f aca="false">IF(TradeMap_Datos!G155="",0,TradeMap_Datos!G155/TradeMap_Datos!G$5)</f>
        <v>5.74876545261905E-006</v>
      </c>
      <c r="H154" s="11" t="n">
        <f aca="false">IF(TradeMap_Datos!H155="",0,TradeMap_Datos!H155/TradeMap_Datos!H$5)</f>
        <v>1.07489751524003E-005</v>
      </c>
      <c r="I154" s="11" t="n">
        <f aca="false">IF(TradeMap_Datos!I155="",0,TradeMap_Datos!I155/TradeMap_Datos!I$5)</f>
        <v>6.51190971661868E-006</v>
      </c>
      <c r="J154" s="11" t="n">
        <f aca="false">IF(TradeMap_Datos!J155="",0,TradeMap_Datos!J155/TradeMap_Datos!J$5)</f>
        <v>0</v>
      </c>
      <c r="K154" s="11" t="n">
        <f aca="false">IF(TradeMap_Datos!K155="",0,TradeMap_Datos!K155/TradeMap_Datos!K$5)</f>
        <v>0</v>
      </c>
      <c r="L154" s="11" t="n">
        <f aca="false">IF(TradeMap_Datos!L155="",0,TradeMap_Datos!L155/TradeMap_Datos!L$5)</f>
        <v>0</v>
      </c>
    </row>
    <row r="155" customFormat="false" ht="15" hidden="false" customHeight="false" outlineLevel="0" collapsed="false">
      <c r="A155" s="4" t="str">
        <f aca="false">TradeMap_Datos!A156</f>
        <v>120</v>
      </c>
      <c r="B155" s="4" t="str">
        <f aca="false">TradeMap_Datos!B156</f>
        <v>Camerún</v>
      </c>
      <c r="C155" s="11" t="n">
        <f aca="false">IF(TradeMap_Datos!C156="",0,TradeMap_Datos!C156/TradeMap_Datos!C$5)</f>
        <v>1.91610885706705E-005</v>
      </c>
      <c r="D155" s="11" t="n">
        <f aca="false">IF(TradeMap_Datos!D156="",0,TradeMap_Datos!D156/TradeMap_Datos!D$5)</f>
        <v>3.99230033997177E-005</v>
      </c>
      <c r="E155" s="11" t="n">
        <f aca="false">IF(TradeMap_Datos!E156="",0,TradeMap_Datos!E156/TradeMap_Datos!E$5)</f>
        <v>0.000132458366616447</v>
      </c>
      <c r="F155" s="11" t="n">
        <f aca="false">IF(TradeMap_Datos!F156="",0,TradeMap_Datos!F156/TradeMap_Datos!F$5)</f>
        <v>4.23242592072711E-005</v>
      </c>
      <c r="G155" s="11" t="n">
        <f aca="false">IF(TradeMap_Datos!G156="",0,TradeMap_Datos!G156/TradeMap_Datos!G$5)</f>
        <v>2.74940956429607E-006</v>
      </c>
      <c r="H155" s="11" t="n">
        <f aca="false">IF(TradeMap_Datos!H156="",0,TradeMap_Datos!H156/TradeMap_Datos!H$5)</f>
        <v>7.83779438195856E-006</v>
      </c>
      <c r="I155" s="11" t="n">
        <f aca="false">IF(TradeMap_Datos!I156="",0,TradeMap_Datos!I156/TradeMap_Datos!I$5)</f>
        <v>1.61382110368376E-005</v>
      </c>
      <c r="J155" s="11" t="n">
        <f aca="false">IF(TradeMap_Datos!J156="",0,TradeMap_Datos!J156/TradeMap_Datos!J$5)</f>
        <v>1.87493631330458E-005</v>
      </c>
      <c r="K155" s="11" t="n">
        <f aca="false">IF(TradeMap_Datos!K156="",0,TradeMap_Datos!K156/TradeMap_Datos!K$5)</f>
        <v>1.15254791205701E-005</v>
      </c>
      <c r="L155" s="11" t="n">
        <f aca="false">IF(TradeMap_Datos!L156="",0,TradeMap_Datos!L156/TradeMap_Datos!L$5)</f>
        <v>0</v>
      </c>
    </row>
    <row r="156" customFormat="false" ht="15" hidden="false" customHeight="false" outlineLevel="0" collapsed="false">
      <c r="A156" s="4" t="str">
        <f aca="false">TradeMap_Datos!A157</f>
        <v>178</v>
      </c>
      <c r="B156" s="4" t="str">
        <f aca="false">TradeMap_Datos!B157</f>
        <v>Congo</v>
      </c>
      <c r="C156" s="11" t="n">
        <f aca="false">IF(TradeMap_Datos!C157="",0,TradeMap_Datos!C157/TradeMap_Datos!C$5)</f>
        <v>0</v>
      </c>
      <c r="D156" s="11" t="n">
        <f aca="false">IF(TradeMap_Datos!D157="",0,TradeMap_Datos!D157/TradeMap_Datos!D$5)</f>
        <v>0</v>
      </c>
      <c r="E156" s="11" t="n">
        <f aca="false">IF(TradeMap_Datos!E157="",0,TradeMap_Datos!E157/TradeMap_Datos!E$5)</f>
        <v>0</v>
      </c>
      <c r="F156" s="11" t="n">
        <f aca="false">IF(TradeMap_Datos!F157="",0,TradeMap_Datos!F157/TradeMap_Datos!F$5)</f>
        <v>0</v>
      </c>
      <c r="G156" s="11" t="n">
        <f aca="false">IF(TradeMap_Datos!G157="",0,TradeMap_Datos!G157/TradeMap_Datos!G$5)</f>
        <v>0</v>
      </c>
      <c r="H156" s="11" t="n">
        <f aca="false">IF(TradeMap_Datos!H157="",0,TradeMap_Datos!H157/TradeMap_Datos!H$5)</f>
        <v>0</v>
      </c>
      <c r="I156" s="11" t="n">
        <f aca="false">IF(TradeMap_Datos!I157="",0,TradeMap_Datos!I157/TradeMap_Datos!I$5)</f>
        <v>0</v>
      </c>
      <c r="J156" s="11" t="n">
        <f aca="false">IF(TradeMap_Datos!J157="",0,TradeMap_Datos!J157/TradeMap_Datos!J$5)</f>
        <v>2.71729900478924E-007</v>
      </c>
      <c r="K156" s="11" t="n">
        <f aca="false">IF(TradeMap_Datos!K157="",0,TradeMap_Datos!K157/TradeMap_Datos!K$5)</f>
        <v>5.12243516469782E-007</v>
      </c>
      <c r="L156" s="11" t="n">
        <f aca="false">IF(TradeMap_Datos!L157="",0,TradeMap_Datos!L157/TradeMap_Datos!L$5)</f>
        <v>0</v>
      </c>
    </row>
    <row r="157" customFormat="false" ht="15" hidden="false" customHeight="false" outlineLevel="0" collapsed="false">
      <c r="A157" s="4" t="str">
        <f aca="false">TradeMap_Datos!A158</f>
        <v>072</v>
      </c>
      <c r="B157" s="4" t="str">
        <f aca="false">TradeMap_Datos!B158</f>
        <v>Botsuana</v>
      </c>
      <c r="C157" s="11" t="n">
        <f aca="false">IF(TradeMap_Datos!C158="",0,TradeMap_Datos!C158/TradeMap_Datos!C$5)</f>
        <v>6.49528426124423E-007</v>
      </c>
      <c r="D157" s="11" t="n">
        <f aca="false">IF(TradeMap_Datos!D158="",0,TradeMap_Datos!D158/TradeMap_Datos!D$5)</f>
        <v>5.21869325486506E-007</v>
      </c>
      <c r="E157" s="11" t="n">
        <f aca="false">IF(TradeMap_Datos!E158="",0,TradeMap_Datos!E158/TradeMap_Datos!E$5)</f>
        <v>2.527831423978E-007</v>
      </c>
      <c r="F157" s="11" t="n">
        <f aca="false">IF(TradeMap_Datos!F158="",0,TradeMap_Datos!F158/TradeMap_Datos!F$5)</f>
        <v>0</v>
      </c>
      <c r="G157" s="11" t="n">
        <f aca="false">IF(TradeMap_Datos!G158="",0,TradeMap_Datos!G158/TradeMap_Datos!G$5)</f>
        <v>0</v>
      </c>
      <c r="H157" s="11" t="n">
        <f aca="false">IF(TradeMap_Datos!H158="",0,TradeMap_Datos!H158/TradeMap_Datos!H$5)</f>
        <v>1.11968491170837E-006</v>
      </c>
      <c r="I157" s="11" t="n">
        <f aca="false">IF(TradeMap_Datos!I158="",0,TradeMap_Datos!I158/TradeMap_Datos!I$5)</f>
        <v>4.53002415069125E-006</v>
      </c>
      <c r="J157" s="11" t="n">
        <f aca="false">IF(TradeMap_Datos!J158="",0,TradeMap_Datos!J158/TradeMap_Datos!J$5)</f>
        <v>2.71729900478924E-007</v>
      </c>
      <c r="K157" s="11" t="n">
        <f aca="false">IF(TradeMap_Datos!K158="",0,TradeMap_Datos!K158/TradeMap_Datos!K$5)</f>
        <v>2.56121758234891E-007</v>
      </c>
      <c r="L157" s="11" t="n">
        <f aca="false">IF(TradeMap_Datos!L158="",0,TradeMap_Datos!L158/TradeMap_Datos!L$5)</f>
        <v>0</v>
      </c>
    </row>
    <row r="158" customFormat="false" ht="15" hidden="false" customHeight="false" outlineLevel="0" collapsed="false">
      <c r="A158" s="4" t="str">
        <f aca="false">TradeMap_Datos!A159</f>
        <v>048</v>
      </c>
      <c r="B158" s="4" t="str">
        <f aca="false">TradeMap_Datos!B159</f>
        <v>Bahrein</v>
      </c>
      <c r="C158" s="11" t="n">
        <f aca="false">IF(TradeMap_Datos!C159="",0,TradeMap_Datos!C159/TradeMap_Datos!C$5)</f>
        <v>6.20299646948824E-005</v>
      </c>
      <c r="D158" s="11" t="n">
        <f aca="false">IF(TradeMap_Datos!D159="",0,TradeMap_Datos!D159/TradeMap_Datos!D$5)</f>
        <v>5.47962791760831E-005</v>
      </c>
      <c r="E158" s="11" t="n">
        <f aca="false">IF(TradeMap_Datos!E159="",0,TradeMap_Datos!E159/TradeMap_Datos!E$5)</f>
        <v>0.000122599824062933</v>
      </c>
      <c r="F158" s="11" t="n">
        <f aca="false">IF(TradeMap_Datos!F159="",0,TradeMap_Datos!F159/TradeMap_Datos!F$5)</f>
        <v>3.98478397855691E-005</v>
      </c>
      <c r="G158" s="11" t="n">
        <f aca="false">IF(TradeMap_Datos!G159="",0,TradeMap_Datos!G159/TradeMap_Datos!G$5)</f>
        <v>7.69834678002899E-005</v>
      </c>
      <c r="H158" s="11" t="n">
        <f aca="false">IF(TradeMap_Datos!H159="",0,TradeMap_Datos!H159/TradeMap_Datos!H$5)</f>
        <v>1.14207860994253E-005</v>
      </c>
      <c r="I158" s="11" t="n">
        <f aca="false">IF(TradeMap_Datos!I159="",0,TradeMap_Datos!I159/TradeMap_Datos!I$5)</f>
        <v>2.85957774512385E-005</v>
      </c>
      <c r="J158" s="11" t="n">
        <f aca="false">IF(TradeMap_Datos!J159="",0,TradeMap_Datos!J159/TradeMap_Datos!J$5)</f>
        <v>1.60320641282565E-005</v>
      </c>
      <c r="K158" s="11" t="n">
        <f aca="false">IF(TradeMap_Datos!K159="",0,TradeMap_Datos!K159/TradeMap_Datos!K$5)</f>
        <v>1.99774971423215E-005</v>
      </c>
      <c r="L158" s="11" t="n">
        <f aca="false">IF(TradeMap_Datos!L159="",0,TradeMap_Datos!L159/TradeMap_Datos!L$5)</f>
        <v>0</v>
      </c>
    </row>
    <row r="159" customFormat="false" ht="15" hidden="false" customHeight="false" outlineLevel="0" collapsed="false">
      <c r="A159" s="4" t="str">
        <f aca="false">TradeMap_Datos!A160</f>
        <v>050</v>
      </c>
      <c r="B159" s="4" t="str">
        <f aca="false">TradeMap_Datos!B160</f>
        <v>Bangladesh</v>
      </c>
      <c r="C159" s="11" t="n">
        <f aca="false">IF(TradeMap_Datos!C160="",0,TradeMap_Datos!C160/TradeMap_Datos!C$5)</f>
        <v>2.04601454229193E-005</v>
      </c>
      <c r="D159" s="11" t="n">
        <f aca="false">IF(TradeMap_Datos!D160="",0,TradeMap_Datos!D160/TradeMap_Datos!D$5)</f>
        <v>0</v>
      </c>
      <c r="E159" s="11" t="n">
        <f aca="false">IF(TradeMap_Datos!E160="",0,TradeMap_Datos!E160/TradeMap_Datos!E$5)</f>
        <v>1.66836873982548E-005</v>
      </c>
      <c r="F159" s="11" t="n">
        <f aca="false">IF(TradeMap_Datos!F160="",0,TradeMap_Datos!F160/TradeMap_Datos!F$5)</f>
        <v>0</v>
      </c>
      <c r="G159" s="11" t="n">
        <f aca="false">IF(TradeMap_Datos!G160="",0,TradeMap_Datos!G160/TradeMap_Datos!G$5)</f>
        <v>0</v>
      </c>
      <c r="H159" s="11" t="n">
        <f aca="false">IF(TradeMap_Datos!H160="",0,TradeMap_Datos!H160/TradeMap_Datos!H$5)</f>
        <v>0</v>
      </c>
      <c r="I159" s="11" t="n">
        <f aca="false">IF(TradeMap_Datos!I160="",0,TradeMap_Datos!I160/TradeMap_Datos!I$5)</f>
        <v>0</v>
      </c>
      <c r="J159" s="11" t="n">
        <f aca="false">IF(TradeMap_Datos!J160="",0,TradeMap_Datos!J160/TradeMap_Datos!J$5)</f>
        <v>0</v>
      </c>
      <c r="K159" s="11" t="n">
        <f aca="false">IF(TradeMap_Datos!K160="",0,TradeMap_Datos!K160/TradeMap_Datos!K$5)</f>
        <v>0</v>
      </c>
      <c r="L159" s="11" t="n">
        <f aca="false">IF(TradeMap_Datos!L160="",0,TradeMap_Datos!L160/TradeMap_Datos!L$5)</f>
        <v>0</v>
      </c>
    </row>
    <row r="160" customFormat="false" ht="15" hidden="false" customHeight="false" outlineLevel="0" collapsed="false">
      <c r="A160" s="4" t="str">
        <f aca="false">TradeMap_Datos!A161</f>
        <v>028</v>
      </c>
      <c r="B160" s="4" t="str">
        <f aca="false">TradeMap_Datos!B161</f>
        <v>Antigua y Barbuda</v>
      </c>
      <c r="C160" s="11" t="n">
        <f aca="false">IF(TradeMap_Datos!C161="",0,TradeMap_Datos!C161/TradeMap_Datos!C$5)</f>
        <v>0</v>
      </c>
      <c r="D160" s="11" t="n">
        <f aca="false">IF(TradeMap_Datos!D161="",0,TradeMap_Datos!D161/TradeMap_Datos!D$5)</f>
        <v>0</v>
      </c>
      <c r="E160" s="11" t="n">
        <f aca="false">IF(TradeMap_Datos!E161="",0,TradeMap_Datos!E161/TradeMap_Datos!E$5)</f>
        <v>0</v>
      </c>
      <c r="F160" s="11" t="n">
        <f aca="false">IF(TradeMap_Datos!F161="",0,TradeMap_Datos!F161/TradeMap_Datos!F$5)</f>
        <v>0</v>
      </c>
      <c r="G160" s="11" t="n">
        <f aca="false">IF(TradeMap_Datos!G161="",0,TradeMap_Datos!G161/TradeMap_Datos!G$5)</f>
        <v>0</v>
      </c>
      <c r="H160" s="11" t="n">
        <f aca="false">IF(TradeMap_Datos!H161="",0,TradeMap_Datos!H161/TradeMap_Datos!H$5)</f>
        <v>0</v>
      </c>
      <c r="I160" s="11" t="n">
        <f aca="false">IF(TradeMap_Datos!I161="",0,TradeMap_Datos!I161/TradeMap_Datos!I$5)</f>
        <v>0</v>
      </c>
      <c r="J160" s="11" t="n">
        <f aca="false">IF(TradeMap_Datos!J161="",0,TradeMap_Datos!J161/TradeMap_Datos!J$5)</f>
        <v>0</v>
      </c>
      <c r="K160" s="11" t="n">
        <f aca="false">IF(TradeMap_Datos!K161="",0,TradeMap_Datos!K161/TradeMap_Datos!K$5)</f>
        <v>1.28060879117445E-006</v>
      </c>
      <c r="L160" s="11" t="n">
        <f aca="false">IF(TradeMap_Datos!L161="",0,TradeMap_Datos!L161/TradeMap_Datos!L$5)</f>
        <v>0</v>
      </c>
    </row>
    <row r="161" customFormat="false" ht="15" hidden="false" customHeight="false" outlineLevel="0" collapsed="false">
      <c r="A161" s="4" t="str">
        <f aca="false">TradeMap_Datos!A162</f>
        <v>004</v>
      </c>
      <c r="B161" s="4" t="str">
        <f aca="false">TradeMap_Datos!B162</f>
        <v>Afganistán</v>
      </c>
      <c r="C161" s="11" t="n">
        <f aca="false">IF(TradeMap_Datos!C162="",0,TradeMap_Datos!C162/TradeMap_Datos!C$5)</f>
        <v>0</v>
      </c>
      <c r="D161" s="11" t="n">
        <f aca="false">IF(TradeMap_Datos!D162="",0,TradeMap_Datos!D162/TradeMap_Datos!D$5)</f>
        <v>0</v>
      </c>
      <c r="E161" s="11" t="n">
        <f aca="false">IF(TradeMap_Datos!E162="",0,TradeMap_Datos!E162/TradeMap_Datos!E$5)</f>
        <v>0</v>
      </c>
      <c r="F161" s="11" t="n">
        <f aca="false">IF(TradeMap_Datos!F162="",0,TradeMap_Datos!F162/TradeMap_Datos!F$5)</f>
        <v>0.00331997792834908</v>
      </c>
      <c r="G161" s="11" t="n">
        <f aca="false">IF(TradeMap_Datos!G162="",0,TradeMap_Datos!G162/TradeMap_Datos!G$5)</f>
        <v>0</v>
      </c>
      <c r="H161" s="11" t="n">
        <f aca="false">IF(TradeMap_Datos!H162="",0,TradeMap_Datos!H162/TradeMap_Datos!H$5)</f>
        <v>0</v>
      </c>
      <c r="I161" s="11" t="n">
        <f aca="false">IF(TradeMap_Datos!I162="",0,TradeMap_Datos!I162/TradeMap_Datos!I$5)</f>
        <v>0</v>
      </c>
      <c r="J161" s="11" t="n">
        <f aca="false">IF(TradeMap_Datos!J162="",0,TradeMap_Datos!J162/TradeMap_Datos!J$5)</f>
        <v>0</v>
      </c>
      <c r="K161" s="11" t="n">
        <f aca="false">IF(TradeMap_Datos!K162="",0,TradeMap_Datos!K162/TradeMap_Datos!K$5)</f>
        <v>0</v>
      </c>
      <c r="L161" s="11" t="n">
        <f aca="false">IF(TradeMap_Datos!L162="",0,TradeMap_Datos!L162/TradeMap_Datos!L$5)</f>
        <v>0</v>
      </c>
    </row>
    <row r="162" customFormat="false" ht="15" hidden="false" customHeight="false" outlineLevel="0" collapsed="false">
      <c r="A162" s="4" t="str">
        <f aca="false">TradeMap_Datos!A163</f>
        <v>008</v>
      </c>
      <c r="B162" s="4" t="str">
        <f aca="false">TradeMap_Datos!B163</f>
        <v>Albania</v>
      </c>
      <c r="C162" s="11" t="n">
        <f aca="false">IF(TradeMap_Datos!C163="",0,TradeMap_Datos!C163/TradeMap_Datos!C$5)</f>
        <v>0</v>
      </c>
      <c r="D162" s="11" t="n">
        <f aca="false">IF(TradeMap_Datos!D163="",0,TradeMap_Datos!D163/TradeMap_Datos!D$5)</f>
        <v>1.04373865097301E-006</v>
      </c>
      <c r="E162" s="11" t="n">
        <f aca="false">IF(TradeMap_Datos!E163="",0,TradeMap_Datos!E163/TradeMap_Datos!E$5)</f>
        <v>0</v>
      </c>
      <c r="F162" s="11" t="n">
        <f aca="false">IF(TradeMap_Datos!F163="",0,TradeMap_Datos!F163/TradeMap_Datos!F$5)</f>
        <v>0</v>
      </c>
      <c r="G162" s="11" t="n">
        <f aca="false">IF(TradeMap_Datos!G163="",0,TradeMap_Datos!G163/TradeMap_Datos!G$5)</f>
        <v>0</v>
      </c>
      <c r="H162" s="11" t="n">
        <f aca="false">IF(TradeMap_Datos!H163="",0,TradeMap_Datos!H163/TradeMap_Datos!H$5)</f>
        <v>0</v>
      </c>
      <c r="I162" s="11" t="n">
        <f aca="false">IF(TradeMap_Datos!I163="",0,TradeMap_Datos!I163/TradeMap_Datos!I$5)</f>
        <v>0</v>
      </c>
      <c r="J162" s="11" t="n">
        <f aca="false">IF(TradeMap_Datos!J163="",0,TradeMap_Datos!J163/TradeMap_Datos!J$5)</f>
        <v>0</v>
      </c>
      <c r="K162" s="11" t="n">
        <f aca="false">IF(TradeMap_Datos!K163="",0,TradeMap_Datos!K163/TradeMap_Datos!K$5)</f>
        <v>0</v>
      </c>
      <c r="L162" s="11" t="n">
        <f aca="false">IF(TradeMap_Datos!L163="",0,TradeMap_Datos!L163/TradeMap_Datos!L$5)</f>
        <v>0</v>
      </c>
    </row>
    <row r="163" customFormat="false" ht="15" hidden="false" customHeight="false" outlineLevel="0" collapsed="false">
      <c r="A163" s="4" t="str">
        <f aca="false">TradeMap_Datos!A164</f>
        <v>012</v>
      </c>
      <c r="B163" s="4" t="str">
        <f aca="false">TradeMap_Datos!B164</f>
        <v>Argelia</v>
      </c>
      <c r="C163" s="11" t="n">
        <f aca="false">IF(TradeMap_Datos!C164="",0,TradeMap_Datos!C164/TradeMap_Datos!C$5)</f>
        <v>4.87146319593317E-006</v>
      </c>
      <c r="D163" s="11" t="n">
        <f aca="false">IF(TradeMap_Datos!D164="",0,TradeMap_Datos!D164/TradeMap_Datos!D$5)</f>
        <v>5.74056258035157E-006</v>
      </c>
      <c r="E163" s="11" t="n">
        <f aca="false">IF(TradeMap_Datos!E164="",0,TradeMap_Datos!E164/TradeMap_Datos!E$5)</f>
        <v>0</v>
      </c>
      <c r="F163" s="11" t="n">
        <f aca="false">IF(TradeMap_Datos!F164="",0,TradeMap_Datos!F164/TradeMap_Datos!F$5)</f>
        <v>0</v>
      </c>
      <c r="G163" s="11" t="n">
        <f aca="false">IF(TradeMap_Datos!G164="",0,TradeMap_Datos!G164/TradeMap_Datos!G$5)</f>
        <v>0</v>
      </c>
      <c r="H163" s="11" t="n">
        <f aca="false">IF(TradeMap_Datos!H164="",0,TradeMap_Datos!H164/TradeMap_Datos!H$5)</f>
        <v>0</v>
      </c>
      <c r="I163" s="11" t="n">
        <f aca="false">IF(TradeMap_Datos!I164="",0,TradeMap_Datos!I164/TradeMap_Datos!I$5)</f>
        <v>0</v>
      </c>
      <c r="J163" s="11" t="n">
        <f aca="false">IF(TradeMap_Datos!J164="",0,TradeMap_Datos!J164/TradeMap_Datos!J$5)</f>
        <v>0</v>
      </c>
      <c r="K163" s="11" t="n">
        <f aca="false">IF(TradeMap_Datos!K164="",0,TradeMap_Datos!K164/TradeMap_Datos!K$5)</f>
        <v>1.4086696702919E-005</v>
      </c>
      <c r="L163" s="11" t="n">
        <f aca="false">IF(TradeMap_Datos!L164="",0,TradeMap_Datos!L164/TradeMap_Datos!L$5)</f>
        <v>0</v>
      </c>
    </row>
    <row r="164" customFormat="false" ht="15" hidden="false" customHeight="false" outlineLevel="0" collapsed="false">
      <c r="A164" s="4" t="str">
        <f aca="false">TradeMap_Datos!A165</f>
        <v>020</v>
      </c>
      <c r="B164" s="4" t="str">
        <f aca="false">TradeMap_Datos!B165</f>
        <v>Andorra</v>
      </c>
      <c r="C164" s="11" t="n">
        <f aca="false">IF(TradeMap_Datos!C165="",0,TradeMap_Datos!C165/TradeMap_Datos!C$5)</f>
        <v>0</v>
      </c>
      <c r="D164" s="11" t="n">
        <f aca="false">IF(TradeMap_Datos!D165="",0,TradeMap_Datos!D165/TradeMap_Datos!D$5)</f>
        <v>0</v>
      </c>
      <c r="E164" s="11" t="n">
        <f aca="false">IF(TradeMap_Datos!E165="",0,TradeMap_Datos!E165/TradeMap_Datos!E$5)</f>
        <v>0</v>
      </c>
      <c r="F164" s="11" t="n">
        <f aca="false">IF(TradeMap_Datos!F165="",0,TradeMap_Datos!F165/TradeMap_Datos!F$5)</f>
        <v>0</v>
      </c>
      <c r="G164" s="11" t="n">
        <f aca="false">IF(TradeMap_Datos!G165="",0,TradeMap_Datos!G165/TradeMap_Datos!G$5)</f>
        <v>0</v>
      </c>
      <c r="H164" s="11" t="n">
        <f aca="false">IF(TradeMap_Datos!H165="",0,TradeMap_Datos!H165/TradeMap_Datos!H$5)</f>
        <v>0</v>
      </c>
      <c r="I164" s="11" t="n">
        <f aca="false">IF(TradeMap_Datos!I165="",0,TradeMap_Datos!I165/TradeMap_Datos!I$5)</f>
        <v>0</v>
      </c>
      <c r="J164" s="11" t="n">
        <f aca="false">IF(TradeMap_Datos!J165="",0,TradeMap_Datos!J165/TradeMap_Datos!J$5)</f>
        <v>2.71729900478924E-007</v>
      </c>
      <c r="K164" s="11" t="n">
        <f aca="false">IF(TradeMap_Datos!K165="",0,TradeMap_Datos!K165/TradeMap_Datos!K$5)</f>
        <v>0</v>
      </c>
      <c r="L164" s="11" t="n">
        <f aca="false">IF(TradeMap_Datos!L165="",0,TradeMap_Datos!L165/TradeMap_Datos!L$5)</f>
        <v>0</v>
      </c>
    </row>
    <row r="166" customFormat="false" ht="15" hidden="false" customHeight="false" outlineLevel="0" collapsed="false">
      <c r="A166" s="6" t="s">
        <v>391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392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393</v>
      </c>
      <c r="B2" s="2"/>
      <c r="C2" s="2"/>
      <c r="D2" s="2"/>
      <c r="E2" s="2"/>
      <c r="F2" s="2"/>
      <c r="G2" s="2"/>
    </row>
    <row r="4" customFormat="false" ht="22.35" hidden="false" customHeight="false" outlineLevel="0" collapsed="false">
      <c r="A4" s="3" t="s">
        <v>394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</row>
    <row r="5" customFormat="false" ht="15" hidden="false" customHeight="false" outlineLevel="0" collapsed="false">
      <c r="A5" s="9" t="n">
        <v>2016</v>
      </c>
      <c r="B5" s="12" t="n">
        <f aca="false">TradeMap_Datos!C5</f>
        <v>3079157</v>
      </c>
      <c r="C5" s="4" t="n">
        <f aca="false">COUNT(TradeMap_Datos!C6:C165)</f>
        <v>154</v>
      </c>
      <c r="D5" s="13" t="n">
        <f aca="false">SUMPRODUCT(Participacion!C5:C164,Participacion!C5:C164)</f>
        <v>0.171826389086071</v>
      </c>
      <c r="E5" s="14" t="n">
        <f aca="false">D5*10000</f>
        <v>1718.26389086071</v>
      </c>
      <c r="F5" s="15" t="n">
        <f aca="false">IFERROR(1/D5,"")</f>
        <v>5.81982782341472</v>
      </c>
      <c r="G5" s="4" t="str">
        <f aca="false">IF(D5&gt;0.18,"Concentrado",IF(D5&gt;=0.15,"Moderado","Fragmentado"))</f>
        <v>Moderado</v>
      </c>
    </row>
    <row r="6" customFormat="false" ht="15" hidden="false" customHeight="false" outlineLevel="0" collapsed="false">
      <c r="A6" s="9" t="n">
        <v>2017</v>
      </c>
      <c r="B6" s="12" t="n">
        <f aca="false">TradeMap_Datos!D5</f>
        <v>3832377</v>
      </c>
      <c r="C6" s="4" t="n">
        <f aca="false">COUNT(TradeMap_Datos!D6:D165)</f>
        <v>158</v>
      </c>
      <c r="D6" s="13" t="n">
        <f aca="false">SUMPRODUCT(Participacion!D5:D164,Participacion!D5:D164)</f>
        <v>0.193837480700828</v>
      </c>
      <c r="E6" s="14" t="n">
        <f aca="false">D6*10000</f>
        <v>1938.37480700828</v>
      </c>
      <c r="F6" s="15" t="n">
        <f aca="false">IFERROR(1/D6,"")</f>
        <v>5.15896098311047</v>
      </c>
      <c r="G6" s="4" t="str">
        <f aca="false">IF(D6&gt;0.18,"Concentrado",IF(D6&gt;=0.15,"Moderado","Fragmentado"))</f>
        <v>Concentrado</v>
      </c>
    </row>
    <row r="7" customFormat="false" ht="15" hidden="false" customHeight="false" outlineLevel="0" collapsed="false">
      <c r="A7" s="9" t="n">
        <v>2018</v>
      </c>
      <c r="B7" s="12" t="n">
        <f aca="false">TradeMap_Datos!E5</f>
        <v>3955960</v>
      </c>
      <c r="C7" s="4" t="n">
        <f aca="false">COUNT(TradeMap_Datos!E6:E165)</f>
        <v>155</v>
      </c>
      <c r="D7" s="13" t="n">
        <f aca="false">SUMPRODUCT(Participacion!E5:E164,Participacion!E5:E164)</f>
        <v>0.194216878977723</v>
      </c>
      <c r="E7" s="14" t="n">
        <f aca="false">D7*10000</f>
        <v>1942.16878977723</v>
      </c>
      <c r="F7" s="15" t="n">
        <f aca="false">IFERROR(1/D7,"")</f>
        <v>5.1488830696054</v>
      </c>
      <c r="G7" s="4" t="str">
        <f aca="false">IF(D7&gt;0.18,"Concentrado",IF(D7&gt;=0.15,"Moderado","Fragmentado"))</f>
        <v>Concentrado</v>
      </c>
    </row>
    <row r="8" customFormat="false" ht="15" hidden="false" customHeight="false" outlineLevel="0" collapsed="false">
      <c r="A8" s="9" t="n">
        <v>2019</v>
      </c>
      <c r="B8" s="12" t="n">
        <f aca="false">TradeMap_Datos!F5</f>
        <v>4441897</v>
      </c>
      <c r="C8" s="4" t="n">
        <f aca="false">COUNT(TradeMap_Datos!F6:F165)</f>
        <v>152</v>
      </c>
      <c r="D8" s="13" t="n">
        <f aca="false">SUMPRODUCT(Participacion!F5:F164,Participacion!F5:F164)</f>
        <v>0.166097294965965</v>
      </c>
      <c r="E8" s="14" t="n">
        <f aca="false">D8*10000</f>
        <v>1660.97294965965</v>
      </c>
      <c r="F8" s="15" t="n">
        <f aca="false">IFERROR(1/D8,"")</f>
        <v>6.02056764503545</v>
      </c>
      <c r="G8" s="4" t="str">
        <f aca="false">IF(D8&gt;0.18,"Concentrado",IF(D8&gt;=0.15,"Moderado","Fragmentado"))</f>
        <v>Moderado</v>
      </c>
    </row>
    <row r="9" customFormat="false" ht="15" hidden="false" customHeight="false" outlineLevel="0" collapsed="false">
      <c r="A9" s="9" t="n">
        <v>2020</v>
      </c>
      <c r="B9" s="12" t="n">
        <f aca="false">TradeMap_Datos!G5</f>
        <v>4000859</v>
      </c>
      <c r="C9" s="4" t="n">
        <f aca="false">COUNT(TradeMap_Datos!G6:G165)</f>
        <v>151</v>
      </c>
      <c r="D9" s="13" t="n">
        <f aca="false">SUMPRODUCT(Participacion!G5:G164,Participacion!G5:G164)</f>
        <v>0.154014873522969</v>
      </c>
      <c r="E9" s="14" t="n">
        <f aca="false">D9*10000</f>
        <v>1540.14873522969</v>
      </c>
      <c r="F9" s="15" t="n">
        <f aca="false">IFERROR(1/D9,"")</f>
        <v>6.4928794026563</v>
      </c>
      <c r="G9" s="4" t="str">
        <f aca="false">IF(D9&gt;0.18,"Concentrado",IF(D9&gt;=0.15,"Moderado","Fragmentado"))</f>
        <v>Moderado</v>
      </c>
    </row>
    <row r="10" customFormat="false" ht="15" hidden="false" customHeight="false" outlineLevel="0" collapsed="false">
      <c r="A10" s="9" t="n">
        <v>2021</v>
      </c>
      <c r="B10" s="12" t="n">
        <f aca="false">TradeMap_Datos!H5</f>
        <v>4465542</v>
      </c>
      <c r="C10" s="4" t="n">
        <f aca="false">COUNT(TradeMap_Datos!H6:H165)</f>
        <v>151</v>
      </c>
      <c r="D10" s="13" t="n">
        <f aca="false">SUMPRODUCT(Participacion!H5:H164,Participacion!H5:H164)</f>
        <v>0.135493456763081</v>
      </c>
      <c r="E10" s="14" t="n">
        <f aca="false">D10*10000</f>
        <v>1354.93456763081</v>
      </c>
      <c r="F10" s="15" t="n">
        <f aca="false">IFERROR(1/D10,"")</f>
        <v>7.38043019854872</v>
      </c>
      <c r="G10" s="4" t="str">
        <f aca="false">IF(D10&gt;0.18,"Concentrado",IF(D10&gt;=0.15,"Moderado","Fragmentado"))</f>
        <v>Fragmentado</v>
      </c>
    </row>
    <row r="11" customFormat="false" ht="15" hidden="false" customHeight="false" outlineLevel="0" collapsed="false">
      <c r="A11" s="9" t="n">
        <v>2022</v>
      </c>
      <c r="B11" s="12" t="n">
        <f aca="false">TradeMap_Datos!I5</f>
        <v>3531990</v>
      </c>
      <c r="C11" s="4" t="n">
        <f aca="false">COUNT(TradeMap_Datos!I6:I165)</f>
        <v>149</v>
      </c>
      <c r="D11" s="13" t="n">
        <f aca="false">SUMPRODUCT(Participacion!I5:I164,Participacion!I5:I164)</f>
        <v>0.105615812700677</v>
      </c>
      <c r="E11" s="14" t="n">
        <f aca="false">D11*10000</f>
        <v>1056.15812700677</v>
      </c>
      <c r="F11" s="15" t="n">
        <f aca="false">IFERROR(1/D11,"")</f>
        <v>9.46827917552532</v>
      </c>
      <c r="G11" s="4" t="str">
        <f aca="false">IF(D11&gt;0.18,"Concentrado",IF(D11&gt;=0.15,"Moderado","Fragmentado"))</f>
        <v>Fragmentado</v>
      </c>
    </row>
    <row r="12" customFormat="false" ht="15" hidden="false" customHeight="false" outlineLevel="0" collapsed="false">
      <c r="A12" s="9" t="n">
        <v>2023</v>
      </c>
      <c r="B12" s="12" t="n">
        <f aca="false">TradeMap_Datos!J5</f>
        <v>3680125</v>
      </c>
      <c r="C12" s="4" t="n">
        <f aca="false">COUNT(TradeMap_Datos!J6:J165)</f>
        <v>148</v>
      </c>
      <c r="D12" s="13" t="n">
        <f aca="false">SUMPRODUCT(Participacion!J5:J164,Participacion!J5:J164)</f>
        <v>0.109190175282051</v>
      </c>
      <c r="E12" s="14" t="n">
        <f aca="false">D12*10000</f>
        <v>1091.90175282051</v>
      </c>
      <c r="F12" s="15" t="n">
        <f aca="false">IFERROR(1/D12,"")</f>
        <v>9.1583331322336</v>
      </c>
      <c r="G12" s="4" t="str">
        <f aca="false">IF(D12&gt;0.18,"Concentrado",IF(D12&gt;=0.15,"Moderado","Fragmentado"))</f>
        <v>Fragmentado</v>
      </c>
    </row>
    <row r="13" customFormat="false" ht="15" hidden="false" customHeight="false" outlineLevel="0" collapsed="false">
      <c r="A13" s="9" t="n">
        <v>2024</v>
      </c>
      <c r="B13" s="12" t="n">
        <f aca="false">TradeMap_Datos!K5</f>
        <v>3904393</v>
      </c>
      <c r="C13" s="4" t="n">
        <f aca="false">COUNT(TradeMap_Datos!K6:K165)</f>
        <v>139</v>
      </c>
      <c r="D13" s="13" t="n">
        <f aca="false">SUMPRODUCT(Participacion!K5:K164,Participacion!K5:K164)</f>
        <v>0.0990863440484474</v>
      </c>
      <c r="E13" s="14" t="n">
        <f aca="false">D13*10000</f>
        <v>990.863440484474</v>
      </c>
      <c r="F13" s="15" t="n">
        <f aca="false">IFERROR(1/D13,"")</f>
        <v>10.0922080595794</v>
      </c>
      <c r="G13" s="4" t="str">
        <f aca="false">IF(D13&gt;0.18,"Concentrado",IF(D13&gt;=0.15,"Moderado","Fragmentado"))</f>
        <v>Fragmentado</v>
      </c>
    </row>
    <row r="14" customFormat="false" ht="15" hidden="false" customHeight="false" outlineLevel="0" collapsed="false">
      <c r="A14" s="9" t="n">
        <v>2025</v>
      </c>
      <c r="B14" s="12" t="n">
        <f aca="false">TradeMap_Datos!L5</f>
        <v>3209449</v>
      </c>
      <c r="C14" s="4" t="n">
        <f aca="false">COUNT(TradeMap_Datos!L6:L165)</f>
        <v>109</v>
      </c>
      <c r="D14" s="13" t="n">
        <f aca="false">SUMPRODUCT(Participacion!L5:L164,Participacion!L5:L164)</f>
        <v>0.0883820947137149</v>
      </c>
      <c r="E14" s="14" t="n">
        <f aca="false">D14*10000</f>
        <v>883.820947137149</v>
      </c>
      <c r="F14" s="15" t="n">
        <f aca="false">IFERROR(1/D14,"")</f>
        <v>11.3145089312397</v>
      </c>
      <c r="G14" s="4" t="str">
        <f aca="false">IF(D14&gt;0.18,"Concentrado",IF(D14&gt;=0.15,"Moderado","Fragmentado"))</f>
        <v>Fragmentado</v>
      </c>
    </row>
    <row r="16" customFormat="false" ht="15" hidden="false" customHeight="false" outlineLevel="0" collapsed="false">
      <c r="A16" s="6" t="s">
        <v>401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8"/>
    <col collapsed="false" customWidth="true" hidden="false" outlineLevel="0" max="7" min="5" style="0" width="13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402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403</v>
      </c>
      <c r="B2" s="2"/>
      <c r="C2" s="2"/>
      <c r="D2" s="2"/>
      <c r="E2" s="2"/>
      <c r="F2" s="2"/>
      <c r="G2" s="2"/>
      <c r="H2" s="2"/>
    </row>
    <row r="4" customFormat="false" ht="22.35" hidden="false" customHeight="false" outlineLevel="0" collapsed="false">
      <c r="A4" s="3" t="s">
        <v>394</v>
      </c>
      <c r="B4" s="3" t="s">
        <v>404</v>
      </c>
      <c r="C4" s="3" t="s">
        <v>405</v>
      </c>
      <c r="D4" s="3" t="s">
        <v>406</v>
      </c>
      <c r="E4" s="3" t="s">
        <v>407</v>
      </c>
      <c r="F4" s="3" t="s">
        <v>408</v>
      </c>
      <c r="G4" s="3" t="s">
        <v>409</v>
      </c>
      <c r="H4" s="3" t="s">
        <v>410</v>
      </c>
    </row>
    <row r="5" customFormat="false" ht="15" hidden="false" customHeight="false" outlineLevel="0" collapsed="false">
      <c r="A5" s="9" t="n">
        <v>2016</v>
      </c>
      <c r="B5" s="12" t="n">
        <f aca="false">INDEX(TradeMap_Datos!C$6:C$165,MATCH("Colombia",TradeMap_Datos!$B$6:$B$165,0))</f>
        <v>57044</v>
      </c>
      <c r="C5" s="12" t="n">
        <f aca="false">INDEX(TradeMap_Datos!C$6:C$165,MATCH("Ecuador",TradeMap_Datos!$B$6:$B$165,0))</f>
        <v>10228</v>
      </c>
      <c r="D5" s="12" t="n">
        <f aca="false">INDEX(TradeMap_Datos!C$6:C$165,MATCH("Perú",TradeMap_Datos!$B$6:$B$165,0))</f>
        <v>41180</v>
      </c>
      <c r="E5" s="11" t="n">
        <f aca="false">B5/TradeMap_Datos!C$5</f>
        <v>0.0185258497699208</v>
      </c>
      <c r="F5" s="11" t="n">
        <f aca="false">C5/TradeMap_Datos!C$5</f>
        <v>0.0033216883712003</v>
      </c>
      <c r="G5" s="11" t="n">
        <f aca="false">D5/TradeMap_Datos!C$5</f>
        <v>0.0133737902939019</v>
      </c>
      <c r="H5" s="15" t="n">
        <f aca="false">IFERROR(C5/B5,"")</f>
        <v>0.179300189327537</v>
      </c>
    </row>
    <row r="6" customFormat="false" ht="15" hidden="false" customHeight="false" outlineLevel="0" collapsed="false">
      <c r="A6" s="9" t="n">
        <v>2017</v>
      </c>
      <c r="B6" s="12" t="n">
        <f aca="false">INDEX(TradeMap_Datos!D$6:D$165,MATCH("Colombia",TradeMap_Datos!$B$6:$B$165,0))</f>
        <v>62041</v>
      </c>
      <c r="C6" s="12" t="n">
        <f aca="false">INDEX(TradeMap_Datos!D$6:D$165,MATCH("Ecuador",TradeMap_Datos!$B$6:$B$165,0))</f>
        <v>16345</v>
      </c>
      <c r="D6" s="12" t="n">
        <f aca="false">INDEX(TradeMap_Datos!D$6:D$165,MATCH("Perú",TradeMap_Datos!$B$6:$B$165,0))</f>
        <v>59914</v>
      </c>
      <c r="E6" s="11" t="n">
        <f aca="false">B6/TradeMap_Datos!D$5</f>
        <v>0.0161886474112542</v>
      </c>
      <c r="F6" s="11" t="n">
        <f aca="false">C6/TradeMap_Datos!D$5</f>
        <v>0.00426497706253847</v>
      </c>
      <c r="G6" s="11" t="n">
        <f aca="false">D6/TradeMap_Datos!D$5</f>
        <v>0.0156336393835993</v>
      </c>
      <c r="H6" s="15" t="n">
        <f aca="false">IFERROR(C6/B6,"")</f>
        <v>0.263454812140359</v>
      </c>
    </row>
    <row r="7" customFormat="false" ht="15" hidden="false" customHeight="false" outlineLevel="0" collapsed="false">
      <c r="A7" s="9" t="n">
        <v>2018</v>
      </c>
      <c r="B7" s="12" t="n">
        <f aca="false">INDEX(TradeMap_Datos!E$6:E$165,MATCH("Colombia",TradeMap_Datos!$B$6:$B$165,0))</f>
        <v>74863</v>
      </c>
      <c r="C7" s="12" t="n">
        <f aca="false">INDEX(TradeMap_Datos!E$6:E$165,MATCH("Ecuador",TradeMap_Datos!$B$6:$B$165,0))</f>
        <v>38202</v>
      </c>
      <c r="D7" s="12" t="n">
        <f aca="false">INDEX(TradeMap_Datos!E$6:E$165,MATCH("Perú",TradeMap_Datos!$B$6:$B$165,0))</f>
        <v>71178</v>
      </c>
      <c r="E7" s="11" t="n">
        <f aca="false">B7/TradeMap_Datos!E$5</f>
        <v>0.0189241043893265</v>
      </c>
      <c r="F7" s="11" t="n">
        <f aca="false">C7/TradeMap_Datos!E$5</f>
        <v>0.00965682160588075</v>
      </c>
      <c r="G7" s="11" t="n">
        <f aca="false">D7/TradeMap_Datos!E$5</f>
        <v>0.0179925985095906</v>
      </c>
      <c r="H7" s="15" t="n">
        <f aca="false">IFERROR(C7/B7,"")</f>
        <v>0.510292133630766</v>
      </c>
    </row>
    <row r="8" customFormat="false" ht="15" hidden="false" customHeight="false" outlineLevel="0" collapsed="false">
      <c r="A8" s="9" t="n">
        <v>2019</v>
      </c>
      <c r="B8" s="12" t="n">
        <f aca="false">INDEX(TradeMap_Datos!F$6:F$165,MATCH("Colombia",TradeMap_Datos!$B$6:$B$165,0))</f>
        <v>80197</v>
      </c>
      <c r="C8" s="12" t="n">
        <f aca="false">INDEX(TradeMap_Datos!F$6:F$165,MATCH("Ecuador",TradeMap_Datos!$B$6:$B$165,0))</f>
        <v>69241</v>
      </c>
      <c r="D8" s="12" t="n">
        <f aca="false">INDEX(TradeMap_Datos!F$6:F$165,MATCH("Perú",TradeMap_Datos!$B$6:$B$165,0))</f>
        <v>68209</v>
      </c>
      <c r="E8" s="11" t="n">
        <f aca="false">B8/TradeMap_Datos!F$5</f>
        <v>0.0180546734874762</v>
      </c>
      <c r="F8" s="11" t="n">
        <f aca="false">C8/TradeMap_Datos!F$5</f>
        <v>0.015588159743461</v>
      </c>
      <c r="G8" s="11" t="n">
        <f aca="false">D8/TradeMap_Datos!F$5</f>
        <v>0.0153558265758976</v>
      </c>
      <c r="H8" s="15" t="n">
        <f aca="false">IFERROR(C8/B8,"")</f>
        <v>0.863386410963004</v>
      </c>
    </row>
    <row r="9" customFormat="false" ht="15" hidden="false" customHeight="false" outlineLevel="0" collapsed="false">
      <c r="A9" s="9" t="n">
        <v>2020</v>
      </c>
      <c r="B9" s="12" t="n">
        <f aca="false">INDEX(TradeMap_Datos!G$6:G$165,MATCH("Colombia",TradeMap_Datos!$B$6:$B$165,0))</f>
        <v>76931</v>
      </c>
      <c r="C9" s="12" t="n">
        <f aca="false">INDEX(TradeMap_Datos!G$6:G$165,MATCH("Ecuador",TradeMap_Datos!$B$6:$B$165,0))</f>
        <v>92677</v>
      </c>
      <c r="D9" s="12" t="n">
        <f aca="false">INDEX(TradeMap_Datos!G$6:G$165,MATCH("Perú",TradeMap_Datos!$B$6:$B$165,0))</f>
        <v>63788</v>
      </c>
      <c r="E9" s="11" t="n">
        <f aca="false">B9/TradeMap_Datos!G$5</f>
        <v>0.0192286206537146</v>
      </c>
      <c r="F9" s="11" t="n">
        <f aca="false">C9/TradeMap_Datos!G$5</f>
        <v>0.0231642754718424</v>
      </c>
      <c r="G9" s="11" t="n">
        <f aca="false">D9/TradeMap_Datos!G$5</f>
        <v>0.0159435761170289</v>
      </c>
      <c r="H9" s="15" t="n">
        <f aca="false">IFERROR(C9/B9,"")</f>
        <v>1.20467691827742</v>
      </c>
    </row>
    <row r="10" customFormat="false" ht="15" hidden="false" customHeight="false" outlineLevel="0" collapsed="false">
      <c r="A10" s="9" t="n">
        <v>2021</v>
      </c>
      <c r="B10" s="12" t="n">
        <f aca="false">INDEX(TradeMap_Datos!H$6:H$165,MATCH("Colombia",TradeMap_Datos!$B$6:$B$165,0))</f>
        <v>94058</v>
      </c>
      <c r="C10" s="12" t="n">
        <f aca="false">INDEX(TradeMap_Datos!H$6:H$165,MATCH("Ecuador",TradeMap_Datos!$B$6:$B$165,0))</f>
        <v>99707</v>
      </c>
      <c r="D10" s="12" t="n">
        <f aca="false">INDEX(TradeMap_Datos!H$6:H$165,MATCH("Perú",TradeMap_Datos!$B$6:$B$165,0))</f>
        <v>83514</v>
      </c>
      <c r="E10" s="11" t="n">
        <f aca="false">B10/TradeMap_Datos!H$5</f>
        <v>0.0210630646850931</v>
      </c>
      <c r="F10" s="11" t="n">
        <f aca="false">C10/TradeMap_Datos!H$5</f>
        <v>0.0223280846983412</v>
      </c>
      <c r="G10" s="11" t="n">
        <f aca="false">D10/TradeMap_Datos!H$5</f>
        <v>0.0187018731432825</v>
      </c>
      <c r="H10" s="15" t="n">
        <f aca="false">IFERROR(C10/B10,"")</f>
        <v>1.06005868719301</v>
      </c>
    </row>
    <row r="11" customFormat="false" ht="15" hidden="false" customHeight="false" outlineLevel="0" collapsed="false">
      <c r="A11" s="9" t="n">
        <v>2022</v>
      </c>
      <c r="B11" s="12" t="n">
        <f aca="false">INDEX(TradeMap_Datos!I$6:I$165,MATCH("Colombia",TradeMap_Datos!$B$6:$B$165,0))</f>
        <v>98775</v>
      </c>
      <c r="C11" s="12" t="n">
        <f aca="false">INDEX(TradeMap_Datos!I$6:I$165,MATCH("Ecuador",TradeMap_Datos!$B$6:$B$165,0))</f>
        <v>121742</v>
      </c>
      <c r="D11" s="12" t="n">
        <f aca="false">INDEX(TradeMap_Datos!I$6:I$165,MATCH("Perú",TradeMap_Datos!$B$6:$B$165,0))</f>
        <v>83381</v>
      </c>
      <c r="E11" s="11" t="n">
        <f aca="false">B11/TradeMap_Datos!I$5</f>
        <v>0.027965820967783</v>
      </c>
      <c r="F11" s="11" t="n">
        <f aca="false">C11/TradeMap_Datos!I$5</f>
        <v>0.0344683875095909</v>
      </c>
      <c r="G11" s="11" t="n">
        <f aca="false">D11/TradeMap_Datos!I$5</f>
        <v>0.0236073714817992</v>
      </c>
      <c r="H11" s="15" t="n">
        <f aca="false">IFERROR(C11/B11,"")</f>
        <v>1.23251834978486</v>
      </c>
    </row>
    <row r="12" customFormat="false" ht="15" hidden="false" customHeight="false" outlineLevel="0" collapsed="false">
      <c r="A12" s="9" t="n">
        <v>2023</v>
      </c>
      <c r="B12" s="12" t="n">
        <f aca="false">INDEX(TradeMap_Datos!J$6:J$165,MATCH("Colombia",TradeMap_Datos!$B$6:$B$165,0))</f>
        <v>98897</v>
      </c>
      <c r="C12" s="12" t="n">
        <f aca="false">INDEX(TradeMap_Datos!J$6:J$165,MATCH("Ecuador",TradeMap_Datos!$B$6:$B$165,0))</f>
        <v>186888</v>
      </c>
      <c r="D12" s="12" t="n">
        <f aca="false">INDEX(TradeMap_Datos!J$6:J$165,MATCH("Perú",TradeMap_Datos!$B$6:$B$165,0))</f>
        <v>88774</v>
      </c>
      <c r="E12" s="11" t="n">
        <f aca="false">B12/TradeMap_Datos!J$5</f>
        <v>0.0268732719676641</v>
      </c>
      <c r="F12" s="11" t="n">
        <f aca="false">C12/TradeMap_Datos!J$5</f>
        <v>0.0507830576407051</v>
      </c>
      <c r="G12" s="11" t="n">
        <f aca="false">D12/TradeMap_Datos!J$5</f>
        <v>0.024122550185116</v>
      </c>
      <c r="H12" s="15" t="n">
        <f aca="false">IFERROR(C12/B12,"")</f>
        <v>1.88972365188024</v>
      </c>
    </row>
    <row r="13" customFormat="false" ht="15" hidden="false" customHeight="false" outlineLevel="0" collapsed="false">
      <c r="A13" s="9" t="n">
        <v>2024</v>
      </c>
      <c r="B13" s="12" t="n">
        <f aca="false">INDEX(TradeMap_Datos!K$6:K$165,MATCH("Colombia",TradeMap_Datos!$B$6:$B$165,0))</f>
        <v>106407</v>
      </c>
      <c r="C13" s="12" t="n">
        <f aca="false">INDEX(TradeMap_Datos!K$6:K$165,MATCH("Ecuador",TradeMap_Datos!$B$6:$B$165,0))</f>
        <v>233457</v>
      </c>
      <c r="D13" s="12" t="n">
        <f aca="false">INDEX(TradeMap_Datos!K$6:K$165,MATCH("Perú",TradeMap_Datos!$B$6:$B$165,0))</f>
        <v>88624</v>
      </c>
      <c r="E13" s="11" t="n">
        <f aca="false">B13/TradeMap_Datos!K$5</f>
        <v>0.0272531479285</v>
      </c>
      <c r="F13" s="11" t="n">
        <f aca="false">C13/TradeMap_Datos!K$5</f>
        <v>0.0597934173122429</v>
      </c>
      <c r="G13" s="11" t="n">
        <f aca="false">D13/TradeMap_Datos!K$5</f>
        <v>0.022698534701809</v>
      </c>
      <c r="H13" s="15" t="n">
        <f aca="false">IFERROR(C13/B13,"")</f>
        <v>2.19400039471087</v>
      </c>
    </row>
    <row r="14" customFormat="false" ht="15" hidden="false" customHeight="false" outlineLevel="0" collapsed="false">
      <c r="A14" s="9" t="n">
        <v>2025</v>
      </c>
      <c r="B14" s="12" t="n">
        <f aca="false">INDEX(TradeMap_Datos!L$6:L$165,MATCH("Colombia",TradeMap_Datos!$B$6:$B$165,0))</f>
        <v>116451</v>
      </c>
      <c r="C14" s="12" t="n">
        <f aca="false">INDEX(TradeMap_Datos!L$6:L$165,MATCH("Ecuador",TradeMap_Datos!$B$6:$B$165,0))</f>
        <v>341984</v>
      </c>
      <c r="D14" s="12" t="n">
        <f aca="false">INDEX(TradeMap_Datos!L$6:L$165,MATCH("Perú",TradeMap_Datos!$B$6:$B$165,0))</f>
        <v>121763</v>
      </c>
      <c r="E14" s="11" t="n">
        <f aca="false">B14/TradeMap_Datos!L$5</f>
        <v>0.0362837982469888</v>
      </c>
      <c r="F14" s="11" t="n">
        <f aca="false">C14/TradeMap_Datos!L$5</f>
        <v>0.106555361995159</v>
      </c>
      <c r="G14" s="11" t="n">
        <f aca="false">D14/TradeMap_Datos!L$5</f>
        <v>0.0379389110093353</v>
      </c>
      <c r="H14" s="15" t="n">
        <f aca="false">IFERROR(C14/B14,"")</f>
        <v>2.9367201655632</v>
      </c>
    </row>
    <row r="16" customFormat="false" ht="15" hidden="false" customHeight="false" outlineLevel="0" collapsed="false">
      <c r="A16" s="16" t="s">
        <v>411</v>
      </c>
      <c r="B16" s="17" t="n">
        <f aca="false">IFERROR((B14/B5)^(1/9)-1,"")</f>
        <v>0.0825227394437118</v>
      </c>
      <c r="C16" s="17" t="n">
        <f aca="false">IFERROR((C14/C5)^(1/9)-1,"")</f>
        <v>0.476920878075689</v>
      </c>
      <c r="D16" s="17" t="n">
        <f aca="false">IFERROR((D14/D5)^(1/9)-1,"")</f>
        <v>0.12801359287805</v>
      </c>
    </row>
    <row r="18" customFormat="false" ht="15" hidden="false" customHeight="false" outlineLevel="0" collapsed="false">
      <c r="A18" s="6" t="s">
        <v>412</v>
      </c>
    </row>
    <row r="19" customFormat="false" ht="15" hidden="false" customHeight="false" outlineLevel="0" collapsed="false">
      <c r="A19" s="6" t="s">
        <v>413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1" t="s">
        <v>414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415</v>
      </c>
      <c r="B2" s="2"/>
      <c r="C2" s="2"/>
      <c r="D2" s="2"/>
      <c r="E2" s="2"/>
    </row>
    <row r="4" customFormat="false" ht="22.35" hidden="false" customHeight="false" outlineLevel="0" collapsed="false">
      <c r="A4" s="3" t="s">
        <v>394</v>
      </c>
      <c r="B4" s="3" t="s">
        <v>416</v>
      </c>
      <c r="C4" s="3" t="s">
        <v>417</v>
      </c>
      <c r="D4" s="3" t="s">
        <v>18</v>
      </c>
      <c r="E4" s="3" t="s">
        <v>418</v>
      </c>
    </row>
    <row r="5" customFormat="false" ht="15" hidden="false" customHeight="false" outlineLevel="0" collapsed="false">
      <c r="A5" s="9" t="n">
        <v>2016</v>
      </c>
      <c r="B5" s="4" t="n">
        <f aca="false">COUNT(TradeMap_Datos!C6:C165)</f>
        <v>154</v>
      </c>
      <c r="C5" s="4" t="n">
        <f aca="false">160-B5</f>
        <v>6</v>
      </c>
      <c r="D5" s="11" t="n">
        <f aca="false">B5/160</f>
        <v>0.9625</v>
      </c>
      <c r="E5" s="4" t="str">
        <f aca="false">IF(D5&gt;=0.85,"Si","No - cobertura parcial")</f>
        <v>Si</v>
      </c>
    </row>
    <row r="6" customFormat="false" ht="15" hidden="false" customHeight="false" outlineLevel="0" collapsed="false">
      <c r="A6" s="9" t="n">
        <v>2017</v>
      </c>
      <c r="B6" s="4" t="n">
        <f aca="false">COUNT(TradeMap_Datos!D6:D165)</f>
        <v>158</v>
      </c>
      <c r="C6" s="4" t="n">
        <f aca="false">160-B6</f>
        <v>2</v>
      </c>
      <c r="D6" s="11" t="n">
        <f aca="false">B6/160</f>
        <v>0.9875</v>
      </c>
      <c r="E6" s="4" t="str">
        <f aca="false">IF(D6&gt;=0.85,"Si","No - cobertura parcial")</f>
        <v>Si</v>
      </c>
    </row>
    <row r="7" customFormat="false" ht="15" hidden="false" customHeight="false" outlineLevel="0" collapsed="false">
      <c r="A7" s="9" t="n">
        <v>2018</v>
      </c>
      <c r="B7" s="4" t="n">
        <f aca="false">COUNT(TradeMap_Datos!E6:E165)</f>
        <v>155</v>
      </c>
      <c r="C7" s="4" t="n">
        <f aca="false">160-B7</f>
        <v>5</v>
      </c>
      <c r="D7" s="11" t="n">
        <f aca="false">B7/160</f>
        <v>0.96875</v>
      </c>
      <c r="E7" s="4" t="str">
        <f aca="false">IF(D7&gt;=0.85,"Si","No - cobertura parcial")</f>
        <v>Si</v>
      </c>
    </row>
    <row r="8" customFormat="false" ht="15" hidden="false" customHeight="false" outlineLevel="0" collapsed="false">
      <c r="A8" s="9" t="n">
        <v>2019</v>
      </c>
      <c r="B8" s="4" t="n">
        <f aca="false">COUNT(TradeMap_Datos!F6:F165)</f>
        <v>152</v>
      </c>
      <c r="C8" s="4" t="n">
        <f aca="false">160-B8</f>
        <v>8</v>
      </c>
      <c r="D8" s="11" t="n">
        <f aca="false">B8/160</f>
        <v>0.95</v>
      </c>
      <c r="E8" s="4" t="str">
        <f aca="false">IF(D8&gt;=0.85,"Si","No - cobertura parcial")</f>
        <v>Si</v>
      </c>
    </row>
    <row r="9" customFormat="false" ht="15" hidden="false" customHeight="false" outlineLevel="0" collapsed="false">
      <c r="A9" s="9" t="n">
        <v>2020</v>
      </c>
      <c r="B9" s="4" t="n">
        <f aca="false">COUNT(TradeMap_Datos!G6:G165)</f>
        <v>151</v>
      </c>
      <c r="C9" s="4" t="n">
        <f aca="false">160-B9</f>
        <v>9</v>
      </c>
      <c r="D9" s="11" t="n">
        <f aca="false">B9/160</f>
        <v>0.94375</v>
      </c>
      <c r="E9" s="4" t="str">
        <f aca="false">IF(D9&gt;=0.85,"Si","No - cobertura parcial")</f>
        <v>Si</v>
      </c>
    </row>
    <row r="10" customFormat="false" ht="15" hidden="false" customHeight="false" outlineLevel="0" collapsed="false">
      <c r="A10" s="9" t="n">
        <v>2021</v>
      </c>
      <c r="B10" s="4" t="n">
        <f aca="false">COUNT(TradeMap_Datos!H6:H165)</f>
        <v>151</v>
      </c>
      <c r="C10" s="4" t="n">
        <f aca="false">160-B10</f>
        <v>9</v>
      </c>
      <c r="D10" s="11" t="n">
        <f aca="false">B10/160</f>
        <v>0.94375</v>
      </c>
      <c r="E10" s="4" t="str">
        <f aca="false">IF(D10&gt;=0.85,"Si","No - cobertura parcial")</f>
        <v>Si</v>
      </c>
    </row>
    <row r="11" customFormat="false" ht="15" hidden="false" customHeight="false" outlineLevel="0" collapsed="false">
      <c r="A11" s="9" t="n">
        <v>2022</v>
      </c>
      <c r="B11" s="4" t="n">
        <f aca="false">COUNT(TradeMap_Datos!I6:I165)</f>
        <v>149</v>
      </c>
      <c r="C11" s="4" t="n">
        <f aca="false">160-B11</f>
        <v>11</v>
      </c>
      <c r="D11" s="11" t="n">
        <f aca="false">B11/160</f>
        <v>0.93125</v>
      </c>
      <c r="E11" s="4" t="str">
        <f aca="false">IF(D11&gt;=0.85,"Si","No - cobertura parcial")</f>
        <v>Si</v>
      </c>
    </row>
    <row r="12" customFormat="false" ht="15" hidden="false" customHeight="false" outlineLevel="0" collapsed="false">
      <c r="A12" s="9" t="n">
        <v>2023</v>
      </c>
      <c r="B12" s="4" t="n">
        <f aca="false">COUNT(TradeMap_Datos!J6:J165)</f>
        <v>148</v>
      </c>
      <c r="C12" s="4" t="n">
        <f aca="false">160-B12</f>
        <v>12</v>
      </c>
      <c r="D12" s="11" t="n">
        <f aca="false">B12/160</f>
        <v>0.925</v>
      </c>
      <c r="E12" s="4" t="str">
        <f aca="false">IF(D12&gt;=0.85,"Si","No - cobertura parcial")</f>
        <v>Si</v>
      </c>
    </row>
    <row r="13" customFormat="false" ht="15" hidden="false" customHeight="false" outlineLevel="0" collapsed="false">
      <c r="A13" s="9" t="n">
        <v>2024</v>
      </c>
      <c r="B13" s="4" t="n">
        <f aca="false">COUNT(TradeMap_Datos!K6:K165)</f>
        <v>139</v>
      </c>
      <c r="C13" s="4" t="n">
        <f aca="false">160-B13</f>
        <v>21</v>
      </c>
      <c r="D13" s="11" t="n">
        <f aca="false">B13/160</f>
        <v>0.86875</v>
      </c>
      <c r="E13" s="4" t="str">
        <f aca="false">IF(D13&gt;=0.85,"Si","No - cobertura parcial")</f>
        <v>Si</v>
      </c>
    </row>
    <row r="14" customFormat="false" ht="15" hidden="false" customHeight="false" outlineLevel="0" collapsed="false">
      <c r="A14" s="9" t="n">
        <v>2025</v>
      </c>
      <c r="B14" s="4" t="n">
        <f aca="false">COUNT(TradeMap_Datos!L6:L165)</f>
        <v>109</v>
      </c>
      <c r="C14" s="4" t="n">
        <f aca="false">160-B14</f>
        <v>51</v>
      </c>
      <c r="D14" s="11" t="n">
        <f aca="false">B14/160</f>
        <v>0.68125</v>
      </c>
      <c r="E14" s="4" t="str">
        <f aca="false">IF(D14&gt;=0.85,"Si","No - cobertura parcial")</f>
        <v>No - cobertura parcial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419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420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421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</row>
    <row r="5" customFormat="false" ht="15" hidden="false" customHeight="false" outlineLevel="0" collapsed="false">
      <c r="A5" s="9" t="s">
        <v>422</v>
      </c>
      <c r="B5" s="10" t="n">
        <v>45200</v>
      </c>
      <c r="C5" s="10" t="n">
        <v>48100</v>
      </c>
      <c r="D5" s="10" t="n">
        <v>52300</v>
      </c>
      <c r="E5" s="10" t="n">
        <v>58900</v>
      </c>
      <c r="F5" s="10" t="n">
        <v>61200</v>
      </c>
      <c r="G5" s="10" t="n">
        <v>64500</v>
      </c>
    </row>
    <row r="6" customFormat="false" ht="15" hidden="false" customHeight="false" outlineLevel="0" collapsed="false">
      <c r="A6" s="9" t="s">
        <v>423</v>
      </c>
      <c r="B6" s="10" t="n">
        <v>32100</v>
      </c>
      <c r="C6" s="10" t="n">
        <v>31800</v>
      </c>
      <c r="D6" s="10" t="n">
        <v>35400</v>
      </c>
      <c r="E6" s="10" t="n">
        <v>39100</v>
      </c>
      <c r="F6" s="10" t="n">
        <v>41000</v>
      </c>
      <c r="G6" s="10" t="n">
        <v>43200</v>
      </c>
    </row>
    <row r="7" customFormat="false" ht="15" hidden="false" customHeight="false" outlineLevel="0" collapsed="false">
      <c r="A7" s="9" t="s">
        <v>424</v>
      </c>
      <c r="B7" s="10" t="n">
        <v>18400</v>
      </c>
      <c r="C7" s="10" t="n">
        <v>19200</v>
      </c>
      <c r="D7" s="10" t="n">
        <v>21000</v>
      </c>
      <c r="E7" s="10" t="n">
        <v>23500</v>
      </c>
      <c r="F7" s="10" t="n">
        <v>25100</v>
      </c>
      <c r="G7" s="10" t="n">
        <v>26800</v>
      </c>
    </row>
    <row r="8" customFormat="false" ht="15" hidden="false" customHeight="false" outlineLevel="0" collapsed="false">
      <c r="A8" s="16" t="s">
        <v>425</v>
      </c>
      <c r="B8" s="18" t="n">
        <f aca="false">SUM(B5:B7)</f>
        <v>95700</v>
      </c>
      <c r="C8" s="18" t="n">
        <f aca="false">SUM(C5:C7)</f>
        <v>99100</v>
      </c>
      <c r="D8" s="18" t="n">
        <f aca="false">SUM(D5:D7)</f>
        <v>108700</v>
      </c>
      <c r="E8" s="18" t="n">
        <f aca="false">SUM(E5:E7)</f>
        <v>121500</v>
      </c>
      <c r="F8" s="18" t="n">
        <f aca="false">SUM(F5:F7)</f>
        <v>127300</v>
      </c>
      <c r="G8" s="18" t="n">
        <f aca="false">SUM(G5:G7)</f>
        <v>134500</v>
      </c>
    </row>
    <row r="9" customFormat="false" ht="15" hidden="false" customHeight="false" outlineLevel="0" collapsed="false">
      <c r="A9" s="16" t="s">
        <v>426</v>
      </c>
      <c r="B9" s="11" t="n">
        <f aca="false">B5/B8</f>
        <v>0.472309299895507</v>
      </c>
      <c r="C9" s="11" t="n">
        <f aca="false">C5/C8</f>
        <v>0.485368314833502</v>
      </c>
      <c r="D9" s="11" t="n">
        <f aca="false">D5/D8</f>
        <v>0.481140754369825</v>
      </c>
      <c r="E9" s="11" t="n">
        <f aca="false">E5/E8</f>
        <v>0.48477366255144</v>
      </c>
      <c r="F9" s="11" t="n">
        <f aca="false">F5/F8</f>
        <v>0.480754124116261</v>
      </c>
      <c r="G9" s="11" t="n">
        <f aca="false">G5/G8</f>
        <v>0.479553903345725</v>
      </c>
    </row>
    <row r="10" customFormat="false" ht="15" hidden="false" customHeight="false" outlineLevel="0" collapsed="false">
      <c r="A10" s="16" t="s">
        <v>427</v>
      </c>
      <c r="B10" s="11" t="n">
        <f aca="false">(G8/B8)^(1/5)-1</f>
        <v>0.0704393590370001</v>
      </c>
    </row>
    <row r="12" customFormat="false" ht="15" hidden="false" customHeight="false" outlineLevel="0" collapsed="false">
      <c r="A12" s="6" t="s">
        <v>428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429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430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431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</row>
    <row r="5" customFormat="false" ht="15" hidden="false" customHeight="false" outlineLevel="0" collapsed="false">
      <c r="A5" s="9" t="s">
        <v>432</v>
      </c>
      <c r="B5" s="19" t="n">
        <v>3.1</v>
      </c>
      <c r="C5" s="19" t="n">
        <v>-0.8</v>
      </c>
      <c r="D5" s="19" t="n">
        <v>3.5</v>
      </c>
      <c r="E5" s="19" t="n">
        <v>1.2</v>
      </c>
      <c r="F5" s="19" t="n">
        <v>1.8</v>
      </c>
      <c r="G5" s="19" t="n">
        <v>2.4</v>
      </c>
    </row>
    <row r="6" customFormat="false" ht="15" hidden="false" customHeight="false" outlineLevel="0" collapsed="false">
      <c r="A6" s="9" t="s">
        <v>433</v>
      </c>
      <c r="B6" s="19" t="n">
        <v>3281</v>
      </c>
      <c r="C6" s="19" t="n">
        <v>3693</v>
      </c>
      <c r="D6" s="19" t="n">
        <v>3743</v>
      </c>
      <c r="E6" s="19" t="n">
        <v>4255</v>
      </c>
      <c r="F6" s="19" t="n">
        <v>4325</v>
      </c>
      <c r="G6" s="19" t="n">
        <v>3950</v>
      </c>
    </row>
    <row r="7" customFormat="false" ht="15" hidden="false" customHeight="false" outlineLevel="0" collapsed="false">
      <c r="A7" s="9" t="s">
        <v>434</v>
      </c>
      <c r="B7" s="19" t="n">
        <v>3.8</v>
      </c>
      <c r="C7" s="19" t="n">
        <v>1.61</v>
      </c>
      <c r="D7" s="19" t="n">
        <v>5.62</v>
      </c>
      <c r="E7" s="19" t="n">
        <v>13.12</v>
      </c>
      <c r="F7" s="19" t="n">
        <v>9.28</v>
      </c>
      <c r="G7" s="19" t="n">
        <v>5.5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7" min="6" style="0" width="24"/>
  </cols>
  <sheetData>
    <row r="1" customFormat="false" ht="16.15" hidden="false" customHeight="false" outlineLevel="0" collapsed="false">
      <c r="A1" s="1" t="s">
        <v>435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436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6" t="s">
        <v>437</v>
      </c>
      <c r="B4" s="20" t="n">
        <v>0.038</v>
      </c>
      <c r="C4" s="4" t="s">
        <v>438</v>
      </c>
    </row>
    <row r="6" customFormat="false" ht="22.35" hidden="false" customHeight="false" outlineLevel="0" collapsed="false">
      <c r="A6" s="3" t="s">
        <v>394</v>
      </c>
      <c r="B6" s="3" t="s">
        <v>439</v>
      </c>
      <c r="C6" s="3" t="s">
        <v>440</v>
      </c>
      <c r="D6" s="3" t="s">
        <v>441</v>
      </c>
      <c r="E6" s="3" t="s">
        <v>442</v>
      </c>
      <c r="F6" s="3" t="s">
        <v>443</v>
      </c>
      <c r="G6" s="3" t="s">
        <v>444</v>
      </c>
    </row>
    <row r="7" customFormat="false" ht="15" hidden="false" customHeight="false" outlineLevel="0" collapsed="false">
      <c r="A7" s="9" t="n">
        <v>2019</v>
      </c>
      <c r="B7" s="10" t="n">
        <v>145000</v>
      </c>
      <c r="C7" s="10" t="n">
        <v>18200</v>
      </c>
      <c r="D7" s="11" t="n">
        <f aca="false">C7/B7</f>
        <v>0.12551724137931</v>
      </c>
      <c r="E7" s="12" t="n">
        <f aca="false">Conjunto_A!B5</f>
        <v>45200</v>
      </c>
      <c r="F7" s="14" t="n">
        <f aca="false">E7*$B$4</f>
        <v>1717.6</v>
      </c>
      <c r="G7" s="21" t="n">
        <v>1717.6</v>
      </c>
    </row>
    <row r="8" customFormat="false" ht="15" hidden="false" customHeight="false" outlineLevel="0" collapsed="false">
      <c r="A8" s="9" t="n">
        <v>2020</v>
      </c>
      <c r="B8" s="10" t="n">
        <v>148200</v>
      </c>
      <c r="C8" s="10" t="n">
        <v>18500</v>
      </c>
      <c r="D8" s="11" t="n">
        <f aca="false">C8/B8</f>
        <v>0.124831309041835</v>
      </c>
      <c r="E8" s="12" t="n">
        <f aca="false">Conjunto_A!C5</f>
        <v>48100</v>
      </c>
      <c r="F8" s="14" t="n">
        <f aca="false">E8*$B$4</f>
        <v>1827.8</v>
      </c>
      <c r="G8" s="21" t="n">
        <v>1827.8</v>
      </c>
    </row>
    <row r="9" customFormat="false" ht="15" hidden="false" customHeight="false" outlineLevel="0" collapsed="false">
      <c r="A9" s="9" t="n">
        <v>2021</v>
      </c>
      <c r="B9" s="10" t="n">
        <v>152000</v>
      </c>
      <c r="C9" s="10" t="n">
        <v>19100</v>
      </c>
      <c r="D9" s="11" t="n">
        <f aca="false">C9/B9</f>
        <v>0.125657894736842</v>
      </c>
      <c r="E9" s="12" t="n">
        <f aca="false">Conjunto_A!D5</f>
        <v>52300</v>
      </c>
      <c r="F9" s="14" t="n">
        <f aca="false">E9*$B$4</f>
        <v>1987.4</v>
      </c>
      <c r="G9" s="21" t="n">
        <v>1987.4</v>
      </c>
    </row>
    <row r="10" customFormat="false" ht="15" hidden="false" customHeight="false" outlineLevel="0" collapsed="false">
      <c r="A10" s="9" t="n">
        <v>2022</v>
      </c>
      <c r="B10" s="10" t="n">
        <v>155400</v>
      </c>
      <c r="C10" s="10" t="n">
        <v>19400</v>
      </c>
      <c r="D10" s="11" t="n">
        <f aca="false">C10/B10</f>
        <v>0.124839124839125</v>
      </c>
      <c r="E10" s="12" t="n">
        <f aca="false">Conjunto_A!E5</f>
        <v>58900</v>
      </c>
      <c r="F10" s="14" t="n">
        <f aca="false">E10*$B$4</f>
        <v>2238.2</v>
      </c>
      <c r="G10" s="21" t="n">
        <v>2238.2</v>
      </c>
    </row>
    <row r="11" customFormat="false" ht="15" hidden="false" customHeight="false" outlineLevel="0" collapsed="false">
      <c r="A11" s="9" t="n">
        <v>2023</v>
      </c>
      <c r="B11" s="10" t="n">
        <v>158100</v>
      </c>
      <c r="C11" s="10" t="n">
        <v>19800</v>
      </c>
      <c r="D11" s="11" t="n">
        <f aca="false">C11/B11</f>
        <v>0.125237191650854</v>
      </c>
      <c r="E11" s="12" t="n">
        <f aca="false">Conjunto_A!F5</f>
        <v>61200</v>
      </c>
      <c r="F11" s="14" t="n">
        <f aca="false">E11*$B$4</f>
        <v>2325.6</v>
      </c>
      <c r="G11" s="21" t="n">
        <v>2325.6</v>
      </c>
    </row>
    <row r="12" customFormat="false" ht="15" hidden="false" customHeight="false" outlineLevel="0" collapsed="false">
      <c r="A12" s="9" t="n">
        <v>2024</v>
      </c>
      <c r="B12" s="10" t="n">
        <v>162000</v>
      </c>
      <c r="C12" s="10" t="n">
        <v>20200</v>
      </c>
      <c r="D12" s="11" t="n">
        <f aca="false">C12/B12</f>
        <v>0.124691358024691</v>
      </c>
      <c r="E12" s="12" t="n">
        <f aca="false">Conjunto_A!G5</f>
        <v>64500</v>
      </c>
      <c r="F12" s="14" t="n">
        <f aca="false">E12*$B$4</f>
        <v>2451</v>
      </c>
      <c r="G12" s="21" t="n">
        <v>2451</v>
      </c>
    </row>
    <row r="13" customFormat="false" ht="15" hidden="false" customHeight="false" outlineLevel="0" collapsed="false">
      <c r="A13" s="16" t="s">
        <v>445</v>
      </c>
      <c r="F13" s="13" t="n">
        <f aca="false">MAX(ABS(F7-G7),ABS(F8-G8),ABS(F9-G9),ABS(F10-G10),ABS(F11-G11),ABS(F12-G12))</f>
        <v>0</v>
      </c>
    </row>
    <row r="15" customFormat="false" ht="15" hidden="false" customHeight="false" outlineLevel="0" collapsed="false">
      <c r="A15" s="6" t="s">
        <v>446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38"/>
  </cols>
  <sheetData>
    <row r="1" customFormat="false" ht="16.15" hidden="false" customHeight="false" outlineLevel="0" collapsed="false">
      <c r="A1" s="1" t="s">
        <v>447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448</v>
      </c>
      <c r="B2" s="2"/>
      <c r="C2" s="2"/>
      <c r="D2" s="2"/>
      <c r="E2" s="2"/>
      <c r="F2" s="2"/>
      <c r="G2" s="2"/>
      <c r="H2" s="2"/>
    </row>
    <row r="4" customFormat="false" ht="22.35" hidden="false" customHeight="false" outlineLevel="0" collapsed="false">
      <c r="A4" s="3" t="s">
        <v>449</v>
      </c>
      <c r="B4" s="3" t="s">
        <v>450</v>
      </c>
      <c r="C4" s="3" t="s">
        <v>451</v>
      </c>
      <c r="D4" s="3" t="s">
        <v>452</v>
      </c>
      <c r="E4" s="3" t="s">
        <v>453</v>
      </c>
      <c r="F4" s="3" t="s">
        <v>454</v>
      </c>
      <c r="G4" s="3" t="s">
        <v>455</v>
      </c>
      <c r="H4" s="3" t="s">
        <v>456</v>
      </c>
    </row>
    <row r="5" customFormat="false" ht="15" hidden="false" customHeight="false" outlineLevel="0" collapsed="false">
      <c r="A5" s="9" t="s">
        <v>86</v>
      </c>
      <c r="B5" s="21" t="n">
        <v>450</v>
      </c>
      <c r="C5" s="21" t="n">
        <v>2091.3</v>
      </c>
      <c r="D5" s="13" t="n">
        <f aca="false">(C5-B5)/(C5+B5)</f>
        <v>0.645850548931649</v>
      </c>
      <c r="E5" s="13" t="n">
        <f aca="false">1-ABS(D5)</f>
        <v>0.354149451068351</v>
      </c>
      <c r="F5" s="22" t="n">
        <v>38.2</v>
      </c>
      <c r="G5" s="23" t="n">
        <v>0.646</v>
      </c>
      <c r="H5" s="5" t="s">
        <v>457</v>
      </c>
    </row>
    <row r="6" customFormat="false" ht="15" hidden="false" customHeight="false" outlineLevel="0" collapsed="false">
      <c r="A6" s="9" t="s">
        <v>458</v>
      </c>
      <c r="B6" s="21" t="n">
        <v>18400</v>
      </c>
      <c r="C6" s="21" t="n">
        <v>15200</v>
      </c>
      <c r="D6" s="13" t="n">
        <f aca="false">(C6-B6)/(C6+B6)</f>
        <v>-0.0952380952380952</v>
      </c>
      <c r="E6" s="13" t="n">
        <f aca="false">1-ABS(D6)</f>
        <v>0.904761904761905</v>
      </c>
      <c r="F6" s="22" t="n">
        <v>154.2</v>
      </c>
      <c r="G6" s="23" t="n">
        <v>-0.095</v>
      </c>
      <c r="H6" s="5" t="s">
        <v>459</v>
      </c>
    </row>
    <row r="7" customFormat="false" ht="15" hidden="false" customHeight="false" outlineLevel="0" collapsed="false">
      <c r="A7" s="9" t="s">
        <v>460</v>
      </c>
      <c r="B7" s="21" t="n">
        <v>8200</v>
      </c>
      <c r="C7" s="21" t="n">
        <v>3100</v>
      </c>
      <c r="D7" s="13" t="n">
        <f aca="false">(C7-B7)/(C7+B7)</f>
        <v>-0.451327433628319</v>
      </c>
      <c r="E7" s="13" t="n">
        <f aca="false">1-ABS(D7)</f>
        <v>0.548672566371681</v>
      </c>
      <c r="F7" s="22" t="n">
        <v>62.8</v>
      </c>
      <c r="G7" s="23" t="n">
        <v>-0.451</v>
      </c>
      <c r="H7" s="5" t="s">
        <v>461</v>
      </c>
    </row>
    <row r="8" customFormat="false" ht="15" hidden="false" customHeight="false" outlineLevel="0" collapsed="false">
      <c r="A8" s="9" t="s">
        <v>106</v>
      </c>
      <c r="B8" s="21" t="n">
        <v>12500</v>
      </c>
      <c r="C8" s="21" t="n">
        <v>1800</v>
      </c>
      <c r="D8" s="13" t="n">
        <f aca="false">(C8-B8)/(C8+B8)</f>
        <v>-0.748251748251748</v>
      </c>
      <c r="E8" s="13" t="n">
        <f aca="false">1-ABS(D8)</f>
        <v>0.251748251748252</v>
      </c>
      <c r="F8" s="22" t="n">
        <v>87.1</v>
      </c>
      <c r="G8" s="23" t="n">
        <v>-0.748</v>
      </c>
      <c r="H8" s="5" t="s">
        <v>462</v>
      </c>
    </row>
    <row r="9" customFormat="false" ht="15" hidden="false" customHeight="false" outlineLevel="0" collapsed="false">
      <c r="A9" s="9" t="s">
        <v>463</v>
      </c>
      <c r="B9" s="21" t="n">
        <v>5600</v>
      </c>
      <c r="C9" s="21" t="n">
        <v>120</v>
      </c>
      <c r="D9" s="13" t="n">
        <f aca="false">(C9-B9)/(C9+B9)</f>
        <v>-0.958041958041958</v>
      </c>
      <c r="E9" s="13" t="n">
        <f aca="false">1-ABS(D9)</f>
        <v>0.041958041958042</v>
      </c>
      <c r="F9" s="22" t="n">
        <v>65.4</v>
      </c>
      <c r="G9" s="23" t="n">
        <v>-0.958</v>
      </c>
      <c r="H9" s="5" t="s">
        <v>464</v>
      </c>
    </row>
    <row r="10" customFormat="false" ht="15" hidden="false" customHeight="false" outlineLevel="0" collapsed="false">
      <c r="A10" s="9" t="s">
        <v>465</v>
      </c>
      <c r="B10" s="21" t="n">
        <v>6800</v>
      </c>
      <c r="C10" s="21" t="n">
        <v>2400</v>
      </c>
      <c r="D10" s="13" t="n">
        <f aca="false">(C10-B10)/(C10+B10)</f>
        <v>-0.478260869565217</v>
      </c>
      <c r="E10" s="13" t="n">
        <f aca="false">1-ABS(D10)</f>
        <v>0.521739130434783</v>
      </c>
      <c r="F10" s="22" t="n">
        <v>168.5</v>
      </c>
      <c r="G10" s="23" t="n">
        <v>-0.478</v>
      </c>
      <c r="H10" s="5" t="s">
        <v>466</v>
      </c>
    </row>
    <row r="12" customFormat="false" ht="15" hidden="false" customHeight="false" outlineLevel="0" collapsed="false">
      <c r="A12" s="16" t="s">
        <v>467</v>
      </c>
    </row>
    <row r="13" customFormat="false" ht="22.35" hidden="false" customHeight="false" outlineLevel="0" collapsed="false">
      <c r="A13" s="9" t="s">
        <v>468</v>
      </c>
      <c r="B13" s="19" t="n">
        <v>22.19</v>
      </c>
      <c r="C13" s="21" t="n">
        <v>2091.3</v>
      </c>
      <c r="D13" s="13" t="n">
        <f aca="false">(C13-B13)/(C13+B13)</f>
        <v>0.979001556666935</v>
      </c>
      <c r="E13" s="13" t="n">
        <f aca="false">1-ABS(D13)</f>
        <v>0.0209984433330652</v>
      </c>
      <c r="H13" s="5" t="s">
        <v>469</v>
      </c>
    </row>
    <row r="15" customFormat="false" ht="15" hidden="false" customHeight="false" outlineLevel="0" collapsed="false">
      <c r="A15" s="6" t="s">
        <v>470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1" t="s">
        <v>471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472</v>
      </c>
      <c r="B2" s="2"/>
      <c r="C2" s="2"/>
      <c r="D2" s="2"/>
      <c r="E2" s="2"/>
      <c r="F2" s="2"/>
      <c r="G2" s="2"/>
    </row>
    <row r="4" customFormat="false" ht="22.35" hidden="false" customHeight="false" outlineLevel="0" collapsed="false">
      <c r="A4" s="3" t="s">
        <v>473</v>
      </c>
      <c r="B4" s="3" t="s">
        <v>474</v>
      </c>
      <c r="C4" s="3" t="s">
        <v>475</v>
      </c>
      <c r="D4" s="3" t="s">
        <v>476</v>
      </c>
      <c r="E4" s="3" t="s">
        <v>477</v>
      </c>
      <c r="F4" s="3" t="s">
        <v>478</v>
      </c>
      <c r="G4" s="3" t="s">
        <v>479</v>
      </c>
    </row>
    <row r="5" customFormat="false" ht="15" hidden="false" customHeight="false" outlineLevel="0" collapsed="false">
      <c r="A5" s="9" t="s">
        <v>480</v>
      </c>
      <c r="B5" s="24" t="n">
        <v>0.0842</v>
      </c>
      <c r="C5" s="12" t="n">
        <f aca="false">B5*10000</f>
        <v>842</v>
      </c>
      <c r="D5" s="15" t="n">
        <f aca="false">1/B5</f>
        <v>11.8764845605701</v>
      </c>
      <c r="E5" s="23" t="n">
        <v>1.845</v>
      </c>
      <c r="F5" s="23" t="n">
        <v>0.021</v>
      </c>
      <c r="G5" s="4" t="str">
        <f aca="false">IF(B5&gt;0.18,"Concentrado (mercado ancla)",IF(B5&gt;=0.15,"Moderado","Diversificado / fragmentado"))</f>
        <v>Diversificado / fragmentado</v>
      </c>
    </row>
    <row r="6" customFormat="false" ht="15" hidden="false" customHeight="false" outlineLevel="0" collapsed="false">
      <c r="A6" s="9" t="s">
        <v>481</v>
      </c>
      <c r="B6" s="24" t="n">
        <v>0.4215</v>
      </c>
      <c r="C6" s="12" t="n">
        <f aca="false">B6*10000</f>
        <v>4215</v>
      </c>
      <c r="D6" s="15" t="n">
        <f aca="false">1/B6</f>
        <v>2.37247924080664</v>
      </c>
      <c r="E6" s="23" t="n">
        <v>0.612</v>
      </c>
      <c r="F6" s="23" t="n">
        <v>0.008</v>
      </c>
      <c r="G6" s="4" t="str">
        <f aca="false">IF(B6&gt;0.18,"Concentrado (mercado ancla)",IF(B6&gt;=0.15,"Moderado","Diversificado / fragmentado"))</f>
        <v>Concentrado (mercado ancla)</v>
      </c>
    </row>
    <row r="8" customFormat="false" ht="15" hidden="false" customHeight="false" outlineLevel="0" collapsed="false">
      <c r="A8" s="6" t="s">
        <v>482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6.15" hidden="false" customHeight="false" outlineLevel="0" collapsed="false">
      <c r="A1" s="1" t="s">
        <v>483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484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485</v>
      </c>
      <c r="B4" s="3" t="s">
        <v>486</v>
      </c>
      <c r="C4" s="3" t="s">
        <v>487</v>
      </c>
      <c r="D4" s="3" t="s">
        <v>488</v>
      </c>
      <c r="E4" s="3" t="s">
        <v>489</v>
      </c>
      <c r="F4" s="3" t="s">
        <v>400</v>
      </c>
    </row>
    <row r="5" customFormat="false" ht="15" hidden="false" customHeight="false" outlineLevel="0" collapsed="false">
      <c r="A5" s="25" t="s">
        <v>480</v>
      </c>
      <c r="B5" s="26" t="n">
        <v>12.45</v>
      </c>
      <c r="C5" s="13" t="n">
        <f aca="false">(B5-1)/(B5+1)</f>
        <v>0.851301115241636</v>
      </c>
      <c r="D5" s="23" t="n">
        <v>0.851</v>
      </c>
      <c r="E5" s="26" t="n">
        <v>1.12</v>
      </c>
      <c r="F5" s="4" t="str">
        <f aca="false">IF(B5&gt;1,"Ventaja comparativa revelada","Desventaja comparativa")</f>
        <v>Ventaja comparativa revelada</v>
      </c>
    </row>
    <row r="6" customFormat="false" ht="15" hidden="false" customHeight="false" outlineLevel="0" collapsed="false">
      <c r="A6" s="25" t="s">
        <v>490</v>
      </c>
      <c r="B6" s="26" t="n">
        <v>18.3</v>
      </c>
      <c r="C6" s="13" t="n">
        <f aca="false">(B6-1)/(B6+1)</f>
        <v>0.896373056994819</v>
      </c>
      <c r="D6" s="23" t="n">
        <v>0.896</v>
      </c>
      <c r="E6" s="26" t="n">
        <v>2.45</v>
      </c>
      <c r="F6" s="4" t="str">
        <f aca="false">IF(B6&gt;1,"Ventaja comparativa revelada","Desventaja comparativa")</f>
        <v>Ventaja comparativa revelada</v>
      </c>
    </row>
    <row r="7" customFormat="false" ht="15" hidden="false" customHeight="false" outlineLevel="0" collapsed="false">
      <c r="A7" s="25" t="s">
        <v>491</v>
      </c>
      <c r="B7" s="26" t="n">
        <v>1.82</v>
      </c>
      <c r="C7" s="13" t="n">
        <f aca="false">(B7-1)/(B7+1)</f>
        <v>0.290780141843972</v>
      </c>
      <c r="D7" s="23" t="n">
        <v>0.29</v>
      </c>
      <c r="E7" s="26" t="n">
        <v>0.15</v>
      </c>
      <c r="F7" s="4" t="str">
        <f aca="false">IF(B7&gt;1,"Ventaja comparativa revelada","Desventaja comparativa")</f>
        <v>Ventaja comparativa revelada</v>
      </c>
    </row>
    <row r="9" customFormat="false" ht="15" hidden="false" customHeight="false" outlineLevel="0" collapsed="false">
      <c r="A9" s="6" t="s">
        <v>492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7" min="3" style="0" width="15"/>
  </cols>
  <sheetData>
    <row r="1" customFormat="false" ht="16.15" hidden="false" customHeight="false" outlineLevel="0" collapsed="false">
      <c r="A1" s="1" t="s">
        <v>493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494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495</v>
      </c>
      <c r="B4" s="3" t="s">
        <v>496</v>
      </c>
      <c r="C4" s="3" t="s">
        <v>458</v>
      </c>
      <c r="D4" s="3" t="s">
        <v>106</v>
      </c>
      <c r="E4" s="3" t="s">
        <v>460</v>
      </c>
      <c r="F4" s="3" t="s">
        <v>463</v>
      </c>
      <c r="G4" s="3" t="s">
        <v>497</v>
      </c>
    </row>
    <row r="5" customFormat="false" ht="15" hidden="false" customHeight="false" outlineLevel="0" collapsed="false">
      <c r="A5" s="9" t="s">
        <v>498</v>
      </c>
      <c r="B5" s="27" t="n">
        <v>0.3</v>
      </c>
      <c r="C5" s="22" t="n">
        <v>4.5</v>
      </c>
      <c r="D5" s="22" t="n">
        <v>5</v>
      </c>
      <c r="E5" s="22" t="n">
        <v>3.5</v>
      </c>
      <c r="F5" s="22" t="n">
        <v>3</v>
      </c>
      <c r="G5" s="22" t="n">
        <v>2.5</v>
      </c>
    </row>
    <row r="6" customFormat="false" ht="15" hidden="false" customHeight="false" outlineLevel="0" collapsed="false">
      <c r="A6" s="9" t="s">
        <v>499</v>
      </c>
      <c r="B6" s="27" t="n">
        <v>0.25</v>
      </c>
      <c r="C6" s="22" t="n">
        <v>5</v>
      </c>
      <c r="D6" s="22" t="n">
        <v>4.5</v>
      </c>
      <c r="E6" s="22" t="n">
        <v>4</v>
      </c>
      <c r="F6" s="22" t="n">
        <v>3.5</v>
      </c>
      <c r="G6" s="22" t="n">
        <v>3.5</v>
      </c>
    </row>
    <row r="7" customFormat="false" ht="15" hidden="false" customHeight="false" outlineLevel="0" collapsed="false">
      <c r="A7" s="9" t="s">
        <v>500</v>
      </c>
      <c r="B7" s="27" t="n">
        <v>0.2</v>
      </c>
      <c r="C7" s="22" t="n">
        <v>4.5</v>
      </c>
      <c r="D7" s="22" t="n">
        <v>4</v>
      </c>
      <c r="E7" s="22" t="n">
        <v>4.5</v>
      </c>
      <c r="F7" s="22" t="n">
        <v>3</v>
      </c>
      <c r="G7" s="22" t="n">
        <v>3.5</v>
      </c>
    </row>
    <row r="8" customFormat="false" ht="15" hidden="false" customHeight="false" outlineLevel="0" collapsed="false">
      <c r="A8" s="9" t="s">
        <v>501</v>
      </c>
      <c r="B8" s="27" t="n">
        <v>0.15</v>
      </c>
      <c r="C8" s="22" t="n">
        <v>5</v>
      </c>
      <c r="D8" s="22" t="n">
        <v>2</v>
      </c>
      <c r="E8" s="22" t="n">
        <v>3</v>
      </c>
      <c r="F8" s="22" t="n">
        <v>1.5</v>
      </c>
      <c r="G8" s="22" t="n">
        <v>4.5</v>
      </c>
    </row>
    <row r="9" customFormat="false" ht="15" hidden="false" customHeight="false" outlineLevel="0" collapsed="false">
      <c r="A9" s="9" t="s">
        <v>502</v>
      </c>
      <c r="B9" s="27" t="n">
        <v>0.1</v>
      </c>
      <c r="C9" s="22" t="n">
        <v>3.5</v>
      </c>
      <c r="D9" s="22" t="n">
        <v>4</v>
      </c>
      <c r="E9" s="22" t="n">
        <v>5</v>
      </c>
      <c r="F9" s="22" t="n">
        <v>4</v>
      </c>
      <c r="G9" s="22" t="n">
        <v>4.5</v>
      </c>
    </row>
    <row r="10" customFormat="false" ht="15" hidden="false" customHeight="false" outlineLevel="0" collapsed="false">
      <c r="A10" s="16" t="s">
        <v>503</v>
      </c>
      <c r="B10" s="28" t="n">
        <f aca="false">SUM(B5:B9)</f>
        <v>1</v>
      </c>
    </row>
    <row r="11" customFormat="false" ht="15" hidden="false" customHeight="false" outlineLevel="0" collapsed="false">
      <c r="A11" s="16" t="s">
        <v>504</v>
      </c>
      <c r="C11" s="29" t="n">
        <f aca="false">SUMPRODUCT($B$5:$B$9,C5:C9)</f>
        <v>4.6</v>
      </c>
      <c r="D11" s="29" t="n">
        <f aca="false">SUMPRODUCT($B$5:$B$9,D5:D9)</f>
        <v>4.125</v>
      </c>
      <c r="E11" s="29" t="n">
        <f aca="false">SUMPRODUCT($B$5:$B$9,E5:E9)</f>
        <v>3.9</v>
      </c>
      <c r="F11" s="29" t="n">
        <f aca="false">SUMPRODUCT($B$5:$B$9,F5:F9)</f>
        <v>3</v>
      </c>
      <c r="G11" s="29" t="n">
        <f aca="false">SUMPRODUCT($B$5:$B$9,G5:G9)</f>
        <v>3.45</v>
      </c>
    </row>
    <row r="12" customFormat="false" ht="15" hidden="false" customHeight="false" outlineLevel="0" collapsed="false">
      <c r="A12" s="16" t="s">
        <v>505</v>
      </c>
      <c r="C12" s="26" t="n">
        <v>4.55</v>
      </c>
      <c r="D12" s="26" t="n">
        <v>4.02</v>
      </c>
      <c r="E12" s="26" t="n">
        <v>3.85</v>
      </c>
      <c r="F12" s="26" t="n">
        <v>2.95</v>
      </c>
      <c r="G12" s="26" t="n">
        <v>3.47</v>
      </c>
    </row>
    <row r="13" customFormat="false" ht="15" hidden="false" customHeight="false" outlineLevel="0" collapsed="false">
      <c r="A13" s="16" t="s">
        <v>506</v>
      </c>
      <c r="C13" s="30" t="n">
        <f aca="false">RANK(C11,$C$11:$G$11,0)</f>
        <v>1</v>
      </c>
      <c r="D13" s="30" t="n">
        <f aca="false">RANK(D11,$C$11:$G$11,0)</f>
        <v>2</v>
      </c>
      <c r="E13" s="30" t="n">
        <f aca="false">RANK(E11,$C$11:$G$11,0)</f>
        <v>3</v>
      </c>
      <c r="F13" s="30" t="n">
        <f aca="false">RANK(F11,$C$11:$G$11,0)</f>
        <v>5</v>
      </c>
      <c r="G13" s="30" t="n">
        <f aca="false">RANK(G11,$C$11:$G$11,0)</f>
        <v>4</v>
      </c>
    </row>
    <row r="15" customFormat="false" ht="15" hidden="false" customHeight="false" outlineLevel="0" collapsed="false">
      <c r="A15" s="6" t="s">
        <v>507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508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509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510</v>
      </c>
      <c r="B4" s="3" t="s">
        <v>511</v>
      </c>
      <c r="C4" s="3" t="s">
        <v>512</v>
      </c>
      <c r="D4" s="3" t="s">
        <v>513</v>
      </c>
      <c r="E4" s="3" t="s">
        <v>514</v>
      </c>
      <c r="F4" s="3" t="s">
        <v>515</v>
      </c>
      <c r="G4" s="3" t="s">
        <v>516</v>
      </c>
    </row>
    <row r="5" customFormat="false" ht="32.8" hidden="false" customHeight="false" outlineLevel="0" collapsed="false">
      <c r="A5" s="25" t="s">
        <v>517</v>
      </c>
      <c r="B5" s="25" t="s">
        <v>518</v>
      </c>
      <c r="C5" s="25" t="s">
        <v>519</v>
      </c>
      <c r="D5" s="25" t="s">
        <v>520</v>
      </c>
      <c r="E5" s="25" t="s">
        <v>521</v>
      </c>
      <c r="F5" s="25" t="s">
        <v>522</v>
      </c>
      <c r="G5" s="25" t="s">
        <v>523</v>
      </c>
    </row>
    <row r="6" customFormat="false" ht="32.8" hidden="false" customHeight="false" outlineLevel="0" collapsed="false">
      <c r="A6" s="25" t="s">
        <v>524</v>
      </c>
      <c r="B6" s="25" t="s">
        <v>525</v>
      </c>
      <c r="C6" s="25" t="s">
        <v>526</v>
      </c>
      <c r="D6" s="25" t="s">
        <v>527</v>
      </c>
      <c r="E6" s="25" t="s">
        <v>528</v>
      </c>
      <c r="F6" s="25" t="s">
        <v>529</v>
      </c>
      <c r="G6" s="25" t="s">
        <v>530</v>
      </c>
    </row>
    <row r="7" customFormat="false" ht="32.8" hidden="false" customHeight="false" outlineLevel="0" collapsed="false">
      <c r="A7" s="25" t="s">
        <v>531</v>
      </c>
      <c r="B7" s="25" t="s">
        <v>532</v>
      </c>
      <c r="C7" s="25" t="s">
        <v>533</v>
      </c>
      <c r="D7" s="25" t="s">
        <v>534</v>
      </c>
      <c r="E7" s="25" t="s">
        <v>535</v>
      </c>
      <c r="F7" s="25" t="s">
        <v>536</v>
      </c>
      <c r="G7" s="25" t="s">
        <v>537</v>
      </c>
    </row>
    <row r="8" customFormat="false" ht="22.35" hidden="false" customHeight="false" outlineLevel="0" collapsed="false">
      <c r="A8" s="25" t="s">
        <v>538</v>
      </c>
      <c r="B8" s="25" t="s">
        <v>539</v>
      </c>
      <c r="C8" s="25" t="s">
        <v>540</v>
      </c>
      <c r="D8" s="25" t="s">
        <v>541</v>
      </c>
      <c r="E8" s="25" t="s">
        <v>542</v>
      </c>
      <c r="F8" s="25" t="s">
        <v>543</v>
      </c>
      <c r="G8" s="25" t="s">
        <v>544</v>
      </c>
    </row>
    <row r="9" customFormat="false" ht="22.35" hidden="false" customHeight="false" outlineLevel="0" collapsed="false">
      <c r="A9" s="25" t="s">
        <v>545</v>
      </c>
      <c r="B9" s="25" t="s">
        <v>546</v>
      </c>
      <c r="C9" s="25" t="s">
        <v>547</v>
      </c>
      <c r="D9" s="25" t="s">
        <v>548</v>
      </c>
      <c r="E9" s="25" t="s">
        <v>549</v>
      </c>
      <c r="F9" s="25" t="s">
        <v>536</v>
      </c>
      <c r="G9" s="25" t="s">
        <v>550</v>
      </c>
    </row>
    <row r="10" customFormat="false" ht="22.35" hidden="false" customHeight="false" outlineLevel="0" collapsed="false">
      <c r="A10" s="25" t="s">
        <v>551</v>
      </c>
      <c r="B10" s="25" t="s">
        <v>552</v>
      </c>
      <c r="C10" s="25" t="s">
        <v>553</v>
      </c>
      <c r="D10" s="25" t="s">
        <v>554</v>
      </c>
      <c r="E10" s="25" t="s">
        <v>555</v>
      </c>
      <c r="F10" s="25" t="s">
        <v>556</v>
      </c>
      <c r="G10" s="25" t="s">
        <v>557</v>
      </c>
    </row>
    <row r="11" customFormat="false" ht="32.8" hidden="false" customHeight="false" outlineLevel="0" collapsed="false">
      <c r="A11" s="25" t="s">
        <v>558</v>
      </c>
      <c r="B11" s="25" t="s">
        <v>559</v>
      </c>
      <c r="C11" s="25" t="s">
        <v>560</v>
      </c>
      <c r="D11" s="25" t="s">
        <v>561</v>
      </c>
      <c r="E11" s="25" t="s">
        <v>562</v>
      </c>
      <c r="F11" s="25" t="s">
        <v>563</v>
      </c>
      <c r="G11" s="25" t="s">
        <v>564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" t="s">
        <v>565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566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567</v>
      </c>
      <c r="B4" s="3" t="s">
        <v>568</v>
      </c>
      <c r="C4" s="3" t="s">
        <v>569</v>
      </c>
      <c r="D4" s="3" t="s">
        <v>570</v>
      </c>
      <c r="E4" s="3" t="s">
        <v>571</v>
      </c>
      <c r="F4" s="3" t="s">
        <v>572</v>
      </c>
      <c r="G4" s="3" t="s">
        <v>573</v>
      </c>
    </row>
    <row r="5" customFormat="false" ht="15" hidden="false" customHeight="false" outlineLevel="0" collapsed="false">
      <c r="A5" s="25" t="s">
        <v>574</v>
      </c>
      <c r="B5" s="25" t="s">
        <v>575</v>
      </c>
      <c r="C5" s="25" t="s">
        <v>576</v>
      </c>
      <c r="D5" s="25" t="s">
        <v>577</v>
      </c>
      <c r="E5" s="25" t="s">
        <v>578</v>
      </c>
      <c r="F5" s="25" t="s">
        <v>9</v>
      </c>
      <c r="G5" s="25" t="s">
        <v>579</v>
      </c>
    </row>
    <row r="6" customFormat="false" ht="15" hidden="false" customHeight="false" outlineLevel="0" collapsed="false">
      <c r="A6" s="25" t="s">
        <v>574</v>
      </c>
      <c r="B6" s="25" t="s">
        <v>580</v>
      </c>
      <c r="C6" s="25" t="s">
        <v>576</v>
      </c>
      <c r="D6" s="25" t="s">
        <v>577</v>
      </c>
      <c r="E6" s="25" t="s">
        <v>581</v>
      </c>
      <c r="F6" s="25" t="s">
        <v>9</v>
      </c>
      <c r="G6" s="25" t="s">
        <v>579</v>
      </c>
    </row>
    <row r="7" customFormat="false" ht="15" hidden="false" customHeight="false" outlineLevel="0" collapsed="false">
      <c r="A7" s="25" t="s">
        <v>574</v>
      </c>
      <c r="B7" s="25" t="s">
        <v>582</v>
      </c>
      <c r="C7" s="25" t="s">
        <v>583</v>
      </c>
      <c r="D7" s="25" t="s">
        <v>584</v>
      </c>
      <c r="E7" s="25" t="s">
        <v>585</v>
      </c>
      <c r="F7" s="25" t="s">
        <v>9</v>
      </c>
      <c r="G7" s="25" t="s">
        <v>579</v>
      </c>
    </row>
    <row r="8" customFormat="false" ht="15" hidden="false" customHeight="false" outlineLevel="0" collapsed="false">
      <c r="A8" s="25" t="s">
        <v>586</v>
      </c>
      <c r="B8" s="25" t="s">
        <v>587</v>
      </c>
      <c r="C8" s="25" t="s">
        <v>588</v>
      </c>
      <c r="D8" s="25" t="s">
        <v>587</v>
      </c>
      <c r="E8" s="25" t="s">
        <v>589</v>
      </c>
      <c r="F8" s="25" t="s">
        <v>9</v>
      </c>
      <c r="G8" s="25" t="s">
        <v>579</v>
      </c>
    </row>
    <row r="9" customFormat="false" ht="15" hidden="false" customHeight="false" outlineLevel="0" collapsed="false">
      <c r="A9" s="25" t="s">
        <v>586</v>
      </c>
      <c r="B9" s="25" t="s">
        <v>590</v>
      </c>
      <c r="C9" s="25" t="s">
        <v>583</v>
      </c>
      <c r="D9" s="25" t="s">
        <v>584</v>
      </c>
      <c r="E9" s="25" t="s">
        <v>591</v>
      </c>
      <c r="F9" s="25" t="s">
        <v>9</v>
      </c>
      <c r="G9" s="25" t="s">
        <v>579</v>
      </c>
    </row>
    <row r="10" customFormat="false" ht="15" hidden="false" customHeight="false" outlineLevel="0" collapsed="false">
      <c r="A10" s="25" t="s">
        <v>592</v>
      </c>
      <c r="B10" s="25" t="s">
        <v>593</v>
      </c>
      <c r="C10" s="25" t="s">
        <v>583</v>
      </c>
      <c r="D10" s="25" t="s">
        <v>584</v>
      </c>
      <c r="E10" s="25" t="s">
        <v>594</v>
      </c>
      <c r="F10" s="25" t="s">
        <v>9</v>
      </c>
      <c r="G10" s="25" t="s">
        <v>579</v>
      </c>
    </row>
    <row r="11" customFormat="false" ht="15" hidden="false" customHeight="false" outlineLevel="0" collapsed="false">
      <c r="A11" s="25" t="s">
        <v>595</v>
      </c>
      <c r="B11" s="25" t="s">
        <v>596</v>
      </c>
      <c r="C11" s="25" t="s">
        <v>576</v>
      </c>
      <c r="D11" s="25" t="s">
        <v>577</v>
      </c>
      <c r="E11" s="25" t="s">
        <v>597</v>
      </c>
      <c r="F11" s="25" t="s">
        <v>598</v>
      </c>
      <c r="G11" s="25" t="s">
        <v>599</v>
      </c>
    </row>
    <row r="12" customFormat="false" ht="15" hidden="false" customHeight="false" outlineLevel="0" collapsed="false">
      <c r="A12" s="25" t="s">
        <v>595</v>
      </c>
      <c r="B12" s="25" t="s">
        <v>600</v>
      </c>
      <c r="C12" s="25" t="s">
        <v>583</v>
      </c>
      <c r="D12" s="25" t="s">
        <v>584</v>
      </c>
      <c r="E12" s="25" t="s">
        <v>601</v>
      </c>
      <c r="F12" s="25" t="s">
        <v>598</v>
      </c>
      <c r="G12" s="25" t="s">
        <v>599</v>
      </c>
    </row>
    <row r="13" customFormat="false" ht="15" hidden="false" customHeight="false" outlineLevel="0" collapsed="false">
      <c r="A13" s="25" t="s">
        <v>602</v>
      </c>
      <c r="B13" s="25" t="s">
        <v>603</v>
      </c>
      <c r="C13" s="25" t="s">
        <v>583</v>
      </c>
      <c r="D13" s="25" t="s">
        <v>604</v>
      </c>
      <c r="E13" s="25" t="s">
        <v>605</v>
      </c>
      <c r="F13" s="25" t="s">
        <v>606</v>
      </c>
      <c r="G13" s="25" t="s">
        <v>599</v>
      </c>
    </row>
    <row r="14" customFormat="false" ht="15" hidden="false" customHeight="false" outlineLevel="0" collapsed="false">
      <c r="A14" s="25" t="s">
        <v>602</v>
      </c>
      <c r="B14" s="25" t="s">
        <v>607</v>
      </c>
      <c r="C14" s="25" t="s">
        <v>583</v>
      </c>
      <c r="D14" s="25" t="s">
        <v>604</v>
      </c>
      <c r="E14" s="25" t="s">
        <v>608</v>
      </c>
      <c r="F14" s="25" t="s">
        <v>606</v>
      </c>
      <c r="G14" s="25" t="s">
        <v>599</v>
      </c>
    </row>
    <row r="15" customFormat="false" ht="22.35" hidden="false" customHeight="false" outlineLevel="0" collapsed="false">
      <c r="A15" s="25" t="s">
        <v>609</v>
      </c>
      <c r="B15" s="25" t="s">
        <v>610</v>
      </c>
      <c r="C15" s="25" t="s">
        <v>576</v>
      </c>
      <c r="D15" s="25" t="s">
        <v>577</v>
      </c>
      <c r="E15" s="25" t="s">
        <v>611</v>
      </c>
      <c r="F15" s="25" t="s">
        <v>612</v>
      </c>
      <c r="G15" s="25" t="s">
        <v>599</v>
      </c>
    </row>
    <row r="16" customFormat="false" ht="15" hidden="false" customHeight="false" outlineLevel="0" collapsed="false">
      <c r="A16" s="25" t="s">
        <v>613</v>
      </c>
      <c r="B16" s="25" t="s">
        <v>614</v>
      </c>
      <c r="C16" s="25" t="s">
        <v>576</v>
      </c>
      <c r="D16" s="25" t="s">
        <v>615</v>
      </c>
      <c r="E16" s="25" t="s">
        <v>616</v>
      </c>
      <c r="F16" s="25" t="s">
        <v>617</v>
      </c>
      <c r="G16" s="25" t="s">
        <v>599</v>
      </c>
    </row>
    <row r="17" customFormat="false" ht="15" hidden="false" customHeight="false" outlineLevel="0" collapsed="false">
      <c r="A17" s="25" t="s">
        <v>618</v>
      </c>
      <c r="B17" s="25" t="s">
        <v>619</v>
      </c>
      <c r="C17" s="25" t="s">
        <v>583</v>
      </c>
      <c r="D17" s="25" t="s">
        <v>604</v>
      </c>
      <c r="E17" s="25" t="s">
        <v>620</v>
      </c>
      <c r="F17" s="25" t="s">
        <v>606</v>
      </c>
      <c r="G17" s="25" t="s">
        <v>599</v>
      </c>
    </row>
    <row r="18" customFormat="false" ht="22.35" hidden="false" customHeight="false" outlineLevel="0" collapsed="false">
      <c r="A18" s="25" t="s">
        <v>618</v>
      </c>
      <c r="B18" s="25" t="s">
        <v>621</v>
      </c>
      <c r="C18" s="25" t="s">
        <v>583</v>
      </c>
      <c r="D18" s="25" t="s">
        <v>622</v>
      </c>
      <c r="E18" s="25" t="s">
        <v>623</v>
      </c>
      <c r="F18" s="25" t="s">
        <v>624</v>
      </c>
      <c r="G18" s="25" t="s">
        <v>599</v>
      </c>
    </row>
    <row r="19" customFormat="false" ht="22.35" hidden="false" customHeight="false" outlineLevel="0" collapsed="false">
      <c r="A19" s="25" t="s">
        <v>618</v>
      </c>
      <c r="B19" s="25" t="s">
        <v>625</v>
      </c>
      <c r="C19" s="25" t="s">
        <v>583</v>
      </c>
      <c r="D19" s="25" t="s">
        <v>584</v>
      </c>
      <c r="E19" s="25" t="s">
        <v>626</v>
      </c>
      <c r="F19" s="25" t="s">
        <v>606</v>
      </c>
      <c r="G19" s="25" t="s">
        <v>599</v>
      </c>
    </row>
    <row r="20" customFormat="false" ht="15" hidden="false" customHeight="false" outlineLevel="0" collapsed="false">
      <c r="A20" s="25" t="s">
        <v>627</v>
      </c>
      <c r="B20" s="25" t="s">
        <v>628</v>
      </c>
      <c r="C20" s="25" t="s">
        <v>576</v>
      </c>
      <c r="D20" s="25" t="s">
        <v>577</v>
      </c>
      <c r="E20" s="25" t="s">
        <v>629</v>
      </c>
      <c r="F20" s="25" t="s">
        <v>598</v>
      </c>
      <c r="G20" s="25" t="s">
        <v>599</v>
      </c>
    </row>
    <row r="21" customFormat="false" ht="15" hidden="false" customHeight="false" outlineLevel="0" collapsed="false">
      <c r="A21" s="25" t="s">
        <v>627</v>
      </c>
      <c r="B21" s="25" t="s">
        <v>630</v>
      </c>
      <c r="C21" s="25" t="s">
        <v>583</v>
      </c>
      <c r="D21" s="25" t="s">
        <v>631</v>
      </c>
      <c r="E21" s="25" t="s">
        <v>632</v>
      </c>
      <c r="F21" s="25" t="s">
        <v>606</v>
      </c>
      <c r="G21" s="25" t="s">
        <v>599</v>
      </c>
    </row>
    <row r="22" customFormat="false" ht="15" hidden="false" customHeight="false" outlineLevel="0" collapsed="false">
      <c r="A22" s="25" t="s">
        <v>627</v>
      </c>
      <c r="B22" s="25" t="s">
        <v>633</v>
      </c>
      <c r="C22" s="25" t="s">
        <v>583</v>
      </c>
      <c r="D22" s="25" t="s">
        <v>634</v>
      </c>
      <c r="E22" s="25" t="s">
        <v>635</v>
      </c>
      <c r="F22" s="25" t="s">
        <v>606</v>
      </c>
      <c r="G22" s="25" t="s">
        <v>599</v>
      </c>
    </row>
    <row r="23" customFormat="false" ht="15" hidden="false" customHeight="false" outlineLevel="0" collapsed="false">
      <c r="A23" s="25" t="s">
        <v>636</v>
      </c>
      <c r="B23" s="25" t="s">
        <v>637</v>
      </c>
      <c r="C23" s="25" t="s">
        <v>583</v>
      </c>
      <c r="D23" s="25" t="s">
        <v>584</v>
      </c>
      <c r="E23" s="25" t="s">
        <v>638</v>
      </c>
      <c r="F23" s="25" t="s">
        <v>639</v>
      </c>
      <c r="G23" s="25" t="s">
        <v>599</v>
      </c>
    </row>
    <row r="24" customFormat="false" ht="22.35" hidden="false" customHeight="false" outlineLevel="0" collapsed="false">
      <c r="A24" s="25" t="s">
        <v>640</v>
      </c>
      <c r="B24" s="25" t="s">
        <v>582</v>
      </c>
      <c r="C24" s="25" t="s">
        <v>583</v>
      </c>
      <c r="D24" s="25" t="s">
        <v>604</v>
      </c>
      <c r="E24" s="25" t="s">
        <v>641</v>
      </c>
      <c r="F24" s="25" t="s">
        <v>642</v>
      </c>
      <c r="G24" s="25" t="s">
        <v>579</v>
      </c>
    </row>
    <row r="25" customFormat="false" ht="15" hidden="false" customHeight="false" outlineLevel="0" collapsed="false">
      <c r="A25" s="25" t="s">
        <v>643</v>
      </c>
      <c r="B25" s="25" t="s">
        <v>644</v>
      </c>
      <c r="C25" s="25" t="s">
        <v>588</v>
      </c>
      <c r="D25" s="25" t="s">
        <v>645</v>
      </c>
      <c r="E25" s="25" t="s">
        <v>646</v>
      </c>
      <c r="F25" s="25" t="s">
        <v>642</v>
      </c>
      <c r="G25" s="25" t="s">
        <v>579</v>
      </c>
    </row>
    <row r="26" customFormat="false" ht="22.35" hidden="false" customHeight="false" outlineLevel="0" collapsed="false">
      <c r="A26" s="25" t="s">
        <v>647</v>
      </c>
      <c r="B26" s="25" t="s">
        <v>648</v>
      </c>
      <c r="C26" s="25" t="s">
        <v>583</v>
      </c>
      <c r="D26" s="25" t="s">
        <v>634</v>
      </c>
      <c r="E26" s="25" t="s">
        <v>649</v>
      </c>
      <c r="F26" s="25" t="s">
        <v>642</v>
      </c>
      <c r="G26" s="25" t="s">
        <v>579</v>
      </c>
    </row>
    <row r="27" customFormat="false" ht="15" hidden="false" customHeight="false" outlineLevel="0" collapsed="false">
      <c r="A27" s="25" t="s">
        <v>647</v>
      </c>
      <c r="B27" s="25" t="s">
        <v>650</v>
      </c>
      <c r="C27" s="25" t="s">
        <v>583</v>
      </c>
      <c r="D27" s="25" t="s">
        <v>651</v>
      </c>
      <c r="E27" s="25" t="s">
        <v>652</v>
      </c>
      <c r="F27" s="25" t="s">
        <v>606</v>
      </c>
      <c r="G27" s="25" t="s">
        <v>579</v>
      </c>
    </row>
    <row r="28" customFormat="false" ht="15" hidden="false" customHeight="false" outlineLevel="0" collapsed="false">
      <c r="A28" s="25" t="s">
        <v>653</v>
      </c>
      <c r="B28" s="25" t="s">
        <v>654</v>
      </c>
      <c r="C28" s="25" t="s">
        <v>583</v>
      </c>
      <c r="D28" s="25" t="s">
        <v>604</v>
      </c>
      <c r="E28" s="25" t="s">
        <v>655</v>
      </c>
      <c r="F28" s="25" t="s">
        <v>642</v>
      </c>
      <c r="G28" s="25" t="s">
        <v>579</v>
      </c>
    </row>
    <row r="29" customFormat="false" ht="22.35" hidden="false" customHeight="false" outlineLevel="0" collapsed="false">
      <c r="A29" s="25" t="s">
        <v>656</v>
      </c>
      <c r="B29" s="25" t="s">
        <v>657</v>
      </c>
      <c r="C29" s="25" t="s">
        <v>583</v>
      </c>
      <c r="D29" s="25" t="s">
        <v>658</v>
      </c>
      <c r="E29" s="25" t="s">
        <v>659</v>
      </c>
      <c r="F29" s="25" t="s">
        <v>642</v>
      </c>
      <c r="G29" s="25" t="s">
        <v>579</v>
      </c>
    </row>
    <row r="30" customFormat="false" ht="15" hidden="false" customHeight="false" outlineLevel="0" collapsed="false">
      <c r="A30" s="25" t="s">
        <v>660</v>
      </c>
      <c r="B30" s="25" t="s">
        <v>661</v>
      </c>
      <c r="C30" s="25" t="s">
        <v>583</v>
      </c>
      <c r="D30" s="25" t="s">
        <v>604</v>
      </c>
      <c r="E30" s="25" t="s">
        <v>662</v>
      </c>
      <c r="F30" s="25" t="s">
        <v>642</v>
      </c>
      <c r="G30" s="25" t="s">
        <v>579</v>
      </c>
    </row>
    <row r="31" customFormat="false" ht="15" hidden="false" customHeight="false" outlineLevel="0" collapsed="false">
      <c r="A31" s="25" t="s">
        <v>663</v>
      </c>
      <c r="B31" s="25" t="s">
        <v>664</v>
      </c>
      <c r="C31" s="25" t="s">
        <v>583</v>
      </c>
      <c r="D31" s="25" t="s">
        <v>631</v>
      </c>
      <c r="E31" s="25" t="s">
        <v>665</v>
      </c>
      <c r="F31" s="25" t="s">
        <v>666</v>
      </c>
      <c r="G31" s="25" t="s">
        <v>599</v>
      </c>
    </row>
    <row r="32" customFormat="false" ht="15" hidden="false" customHeight="false" outlineLevel="0" collapsed="false">
      <c r="A32" s="25" t="s">
        <v>667</v>
      </c>
      <c r="B32" s="25" t="s">
        <v>668</v>
      </c>
      <c r="C32" s="25" t="s">
        <v>583</v>
      </c>
      <c r="D32" s="25" t="s">
        <v>634</v>
      </c>
      <c r="E32" s="25" t="s">
        <v>669</v>
      </c>
      <c r="F32" s="25" t="s">
        <v>666</v>
      </c>
      <c r="G32" s="25" t="s">
        <v>599</v>
      </c>
    </row>
    <row r="33" customFormat="false" ht="15" hidden="false" customHeight="false" outlineLevel="0" collapsed="false">
      <c r="A33" s="25" t="s">
        <v>667</v>
      </c>
      <c r="B33" s="25" t="s">
        <v>670</v>
      </c>
      <c r="C33" s="25" t="s">
        <v>583</v>
      </c>
      <c r="D33" s="25" t="s">
        <v>651</v>
      </c>
      <c r="E33" s="25" t="s">
        <v>671</v>
      </c>
      <c r="F33" s="25" t="s">
        <v>606</v>
      </c>
      <c r="G33" s="25" t="s">
        <v>599</v>
      </c>
    </row>
    <row r="34" customFormat="false" ht="15" hidden="false" customHeight="false" outlineLevel="0" collapsed="false">
      <c r="A34" s="25" t="s">
        <v>672</v>
      </c>
      <c r="B34" s="25" t="s">
        <v>673</v>
      </c>
      <c r="C34" s="25" t="s">
        <v>583</v>
      </c>
      <c r="D34" s="25" t="s">
        <v>674</v>
      </c>
      <c r="E34" s="25" t="s">
        <v>675</v>
      </c>
      <c r="F34" s="25" t="s">
        <v>666</v>
      </c>
      <c r="G34" s="25" t="s">
        <v>599</v>
      </c>
    </row>
    <row r="35" customFormat="false" ht="15" hidden="false" customHeight="false" outlineLevel="0" collapsed="false">
      <c r="A35" s="25" t="s">
        <v>672</v>
      </c>
      <c r="B35" s="25" t="s">
        <v>676</v>
      </c>
      <c r="C35" s="25" t="s">
        <v>583</v>
      </c>
      <c r="D35" s="25" t="s">
        <v>631</v>
      </c>
      <c r="E35" s="25" t="s">
        <v>677</v>
      </c>
      <c r="F35" s="25" t="s">
        <v>606</v>
      </c>
      <c r="G35" s="25" t="s">
        <v>599</v>
      </c>
    </row>
    <row r="36" customFormat="false" ht="15" hidden="false" customHeight="false" outlineLevel="0" collapsed="false">
      <c r="A36" s="25" t="s">
        <v>678</v>
      </c>
      <c r="B36" s="25" t="s">
        <v>679</v>
      </c>
      <c r="C36" s="25" t="s">
        <v>583</v>
      </c>
      <c r="D36" s="25" t="s">
        <v>622</v>
      </c>
      <c r="E36" s="25" t="s">
        <v>680</v>
      </c>
      <c r="F36" s="25" t="s">
        <v>666</v>
      </c>
      <c r="G36" s="25" t="s">
        <v>681</v>
      </c>
    </row>
    <row r="37" customFormat="false" ht="15" hidden="false" customHeight="false" outlineLevel="0" collapsed="false">
      <c r="A37" s="25" t="s">
        <v>678</v>
      </c>
      <c r="B37" s="25" t="s">
        <v>682</v>
      </c>
      <c r="C37" s="25" t="s">
        <v>583</v>
      </c>
      <c r="D37" s="25" t="s">
        <v>683</v>
      </c>
      <c r="E37" s="25" t="s">
        <v>684</v>
      </c>
      <c r="F37" s="25" t="s">
        <v>606</v>
      </c>
      <c r="G37" s="25" t="s">
        <v>681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2026-09-14T11:29:08Z</dcterms:created>
  <dc:creator>openpyxl</dc:creator>
  <dc:description/>
  <dc:language>en-US</dc:language>
  <cp:lastModifiedBy/>
  <dcterms:modified xsi:type="dcterms:W3CDTF">2026-09-14T11:29:08Z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